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481d8b30df5a05/Desktop/"/>
    </mc:Choice>
  </mc:AlternateContent>
  <xr:revisionPtr revIDLastSave="29" documentId="11_3630A87563FD3DEC532EE7DDA2D4DE326D63CFA1" xr6:coauthVersionLast="47" xr6:coauthVersionMax="47" xr10:uidLastSave="{8F6119EA-2C7C-44C3-9148-B777061E93BB}"/>
  <bookViews>
    <workbookView xWindow="-110" yWindow="-110" windowWidth="19420" windowHeight="11500" activeTab="3" xr2:uid="{00000000-000D-0000-FFFF-FFFF00000000}"/>
  </bookViews>
  <sheets>
    <sheet name="Shops" sheetId="1" r:id="rId1"/>
    <sheet name="Customer" sheetId="6" r:id="rId2"/>
    <sheet name="Menu" sheetId="3" r:id="rId3"/>
    <sheet name="Order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2" i="7"/>
  <c r="G5" i="7"/>
  <c r="G6" i="7"/>
  <c r="G47" i="7"/>
  <c r="G48" i="7"/>
  <c r="G49" i="7"/>
  <c r="G82" i="7"/>
  <c r="G83" i="7"/>
  <c r="G84" i="7"/>
  <c r="G85" i="7"/>
  <c r="G86" i="7"/>
  <c r="G87" i="7"/>
  <c r="G118" i="7"/>
  <c r="G119" i="7"/>
  <c r="G120" i="7"/>
  <c r="G121" i="7"/>
  <c r="G130" i="7"/>
  <c r="G131" i="7"/>
  <c r="G137" i="7"/>
  <c r="G138" i="7"/>
  <c r="G143" i="7"/>
  <c r="G154" i="7"/>
  <c r="G155" i="7"/>
  <c r="G156" i="7"/>
  <c r="G157" i="7"/>
  <c r="G214" i="7"/>
  <c r="G215" i="7"/>
  <c r="G216" i="7"/>
  <c r="G250" i="7"/>
  <c r="G251" i="7"/>
  <c r="G262" i="7"/>
  <c r="G263" i="7"/>
  <c r="G287" i="7"/>
  <c r="G288" i="7"/>
  <c r="G289" i="7"/>
  <c r="G298" i="7"/>
  <c r="G335" i="7"/>
  <c r="G336" i="7"/>
  <c r="G337" i="7"/>
  <c r="G370" i="7"/>
  <c r="G371" i="7"/>
  <c r="G372" i="7"/>
  <c r="G373" i="7"/>
  <c r="G374" i="7"/>
  <c r="G375" i="7"/>
  <c r="G406" i="7"/>
  <c r="G407" i="7"/>
  <c r="G408" i="7"/>
  <c r="G409" i="7"/>
  <c r="G418" i="7"/>
  <c r="G419" i="7"/>
  <c r="G425" i="7"/>
  <c r="G426" i="7"/>
  <c r="G431" i="7"/>
  <c r="G442" i="7"/>
  <c r="G443" i="7"/>
  <c r="G444" i="7"/>
  <c r="G445" i="7"/>
  <c r="G2" i="7"/>
  <c r="H3" i="7"/>
  <c r="G3" i="7" s="1"/>
  <c r="H4" i="7"/>
  <c r="G4" i="7" s="1"/>
  <c r="H5" i="7"/>
  <c r="H6" i="7"/>
  <c r="H7" i="7"/>
  <c r="G7" i="7" s="1"/>
  <c r="H8" i="7"/>
  <c r="G8" i="7" s="1"/>
  <c r="H9" i="7"/>
  <c r="G9" i="7" s="1"/>
  <c r="H10" i="7"/>
  <c r="G10" i="7" s="1"/>
  <c r="H11" i="7"/>
  <c r="G11" i="7" s="1"/>
  <c r="H12" i="7"/>
  <c r="G12" i="7" s="1"/>
  <c r="H13" i="7"/>
  <c r="G13" i="7" s="1"/>
  <c r="H14" i="7"/>
  <c r="G14" i="7" s="1"/>
  <c r="H15" i="7"/>
  <c r="G15" i="7" s="1"/>
  <c r="H16" i="7"/>
  <c r="G16" i="7" s="1"/>
  <c r="H17" i="7"/>
  <c r="G17" i="7" s="1"/>
  <c r="H18" i="7"/>
  <c r="G18" i="7" s="1"/>
  <c r="H19" i="7"/>
  <c r="G19" i="7" s="1"/>
  <c r="H20" i="7"/>
  <c r="G20" i="7" s="1"/>
  <c r="H21" i="7"/>
  <c r="G21" i="7" s="1"/>
  <c r="H22" i="7"/>
  <c r="G22" i="7" s="1"/>
  <c r="H23" i="7"/>
  <c r="G23" i="7" s="1"/>
  <c r="H24" i="7"/>
  <c r="G24" i="7" s="1"/>
  <c r="H25" i="7"/>
  <c r="G25" i="7" s="1"/>
  <c r="H26" i="7"/>
  <c r="G26" i="7" s="1"/>
  <c r="H27" i="7"/>
  <c r="G27" i="7" s="1"/>
  <c r="H28" i="7"/>
  <c r="G28" i="7" s="1"/>
  <c r="H29" i="7"/>
  <c r="G29" i="7" s="1"/>
  <c r="H30" i="7"/>
  <c r="G30" i="7" s="1"/>
  <c r="H31" i="7"/>
  <c r="G31" i="7" s="1"/>
  <c r="H32" i="7"/>
  <c r="G32" i="7" s="1"/>
  <c r="H33" i="7"/>
  <c r="G33" i="7" s="1"/>
  <c r="H34" i="7"/>
  <c r="G34" i="7" s="1"/>
  <c r="H35" i="7"/>
  <c r="G35" i="7" s="1"/>
  <c r="H36" i="7"/>
  <c r="G36" i="7" s="1"/>
  <c r="H37" i="7"/>
  <c r="G37" i="7" s="1"/>
  <c r="H38" i="7"/>
  <c r="G38" i="7" s="1"/>
  <c r="H39" i="7"/>
  <c r="G39" i="7" s="1"/>
  <c r="H40" i="7"/>
  <c r="G40" i="7" s="1"/>
  <c r="H41" i="7"/>
  <c r="G41" i="7" s="1"/>
  <c r="H42" i="7"/>
  <c r="G42" i="7" s="1"/>
  <c r="H43" i="7"/>
  <c r="G43" i="7" s="1"/>
  <c r="H44" i="7"/>
  <c r="G44" i="7" s="1"/>
  <c r="H45" i="7"/>
  <c r="G45" i="7" s="1"/>
  <c r="H46" i="7"/>
  <c r="G46" i="7" s="1"/>
  <c r="H47" i="7"/>
  <c r="H48" i="7"/>
  <c r="H49" i="7"/>
  <c r="H50" i="7"/>
  <c r="G50" i="7" s="1"/>
  <c r="H51" i="7"/>
  <c r="G51" i="7" s="1"/>
  <c r="H52" i="7"/>
  <c r="G52" i="7" s="1"/>
  <c r="H53" i="7"/>
  <c r="G53" i="7" s="1"/>
  <c r="H54" i="7"/>
  <c r="G54" i="7" s="1"/>
  <c r="H55" i="7"/>
  <c r="G55" i="7" s="1"/>
  <c r="H56" i="7"/>
  <c r="G56" i="7" s="1"/>
  <c r="H57" i="7"/>
  <c r="G57" i="7" s="1"/>
  <c r="H58" i="7"/>
  <c r="G58" i="7" s="1"/>
  <c r="H59" i="7"/>
  <c r="G59" i="7" s="1"/>
  <c r="H60" i="7"/>
  <c r="G60" i="7" s="1"/>
  <c r="H61" i="7"/>
  <c r="G61" i="7" s="1"/>
  <c r="H62" i="7"/>
  <c r="G62" i="7" s="1"/>
  <c r="H63" i="7"/>
  <c r="G63" i="7" s="1"/>
  <c r="H64" i="7"/>
  <c r="G64" i="7" s="1"/>
  <c r="H65" i="7"/>
  <c r="G65" i="7" s="1"/>
  <c r="H66" i="7"/>
  <c r="G66" i="7" s="1"/>
  <c r="H67" i="7"/>
  <c r="G67" i="7" s="1"/>
  <c r="H68" i="7"/>
  <c r="G68" i="7" s="1"/>
  <c r="H69" i="7"/>
  <c r="G69" i="7" s="1"/>
  <c r="H70" i="7"/>
  <c r="G70" i="7" s="1"/>
  <c r="H71" i="7"/>
  <c r="G71" i="7" s="1"/>
  <c r="H72" i="7"/>
  <c r="G72" i="7" s="1"/>
  <c r="H73" i="7"/>
  <c r="G73" i="7" s="1"/>
  <c r="H74" i="7"/>
  <c r="G74" i="7" s="1"/>
  <c r="H75" i="7"/>
  <c r="G75" i="7" s="1"/>
  <c r="H76" i="7"/>
  <c r="G76" i="7" s="1"/>
  <c r="H77" i="7"/>
  <c r="G77" i="7" s="1"/>
  <c r="H78" i="7"/>
  <c r="G78" i="7" s="1"/>
  <c r="H79" i="7"/>
  <c r="G79" i="7" s="1"/>
  <c r="H80" i="7"/>
  <c r="G80" i="7" s="1"/>
  <c r="H81" i="7"/>
  <c r="G81" i="7" s="1"/>
  <c r="H82" i="7"/>
  <c r="H83" i="7"/>
  <c r="H84" i="7"/>
  <c r="H85" i="7"/>
  <c r="H86" i="7"/>
  <c r="H87" i="7"/>
  <c r="H88" i="7"/>
  <c r="G88" i="7" s="1"/>
  <c r="H89" i="7"/>
  <c r="G89" i="7" s="1"/>
  <c r="H90" i="7"/>
  <c r="G90" i="7" s="1"/>
  <c r="H91" i="7"/>
  <c r="G91" i="7" s="1"/>
  <c r="H92" i="7"/>
  <c r="G92" i="7" s="1"/>
  <c r="H93" i="7"/>
  <c r="G93" i="7" s="1"/>
  <c r="H94" i="7"/>
  <c r="G94" i="7" s="1"/>
  <c r="H95" i="7"/>
  <c r="G95" i="7" s="1"/>
  <c r="H96" i="7"/>
  <c r="G96" i="7" s="1"/>
  <c r="H97" i="7"/>
  <c r="G97" i="7" s="1"/>
  <c r="H98" i="7"/>
  <c r="G98" i="7" s="1"/>
  <c r="H99" i="7"/>
  <c r="G99" i="7" s="1"/>
  <c r="H100" i="7"/>
  <c r="G100" i="7" s="1"/>
  <c r="H101" i="7"/>
  <c r="G101" i="7" s="1"/>
  <c r="H102" i="7"/>
  <c r="G102" i="7" s="1"/>
  <c r="H103" i="7"/>
  <c r="G103" i="7" s="1"/>
  <c r="H104" i="7"/>
  <c r="G104" i="7" s="1"/>
  <c r="H105" i="7"/>
  <c r="G105" i="7" s="1"/>
  <c r="H106" i="7"/>
  <c r="G106" i="7" s="1"/>
  <c r="H107" i="7"/>
  <c r="G107" i="7" s="1"/>
  <c r="H108" i="7"/>
  <c r="G108" i="7" s="1"/>
  <c r="H109" i="7"/>
  <c r="G109" i="7" s="1"/>
  <c r="H110" i="7"/>
  <c r="G110" i="7" s="1"/>
  <c r="H111" i="7"/>
  <c r="G111" i="7" s="1"/>
  <c r="H112" i="7"/>
  <c r="G112" i="7" s="1"/>
  <c r="H113" i="7"/>
  <c r="G113" i="7" s="1"/>
  <c r="H114" i="7"/>
  <c r="G114" i="7" s="1"/>
  <c r="H115" i="7"/>
  <c r="G115" i="7" s="1"/>
  <c r="H116" i="7"/>
  <c r="G116" i="7" s="1"/>
  <c r="H117" i="7"/>
  <c r="G117" i="7" s="1"/>
  <c r="H118" i="7"/>
  <c r="H119" i="7"/>
  <c r="H120" i="7"/>
  <c r="H121" i="7"/>
  <c r="H122" i="7"/>
  <c r="G122" i="7" s="1"/>
  <c r="H123" i="7"/>
  <c r="G123" i="7" s="1"/>
  <c r="H124" i="7"/>
  <c r="G124" i="7" s="1"/>
  <c r="H125" i="7"/>
  <c r="G125" i="7" s="1"/>
  <c r="H126" i="7"/>
  <c r="G126" i="7" s="1"/>
  <c r="H127" i="7"/>
  <c r="G127" i="7" s="1"/>
  <c r="H128" i="7"/>
  <c r="G128" i="7" s="1"/>
  <c r="H129" i="7"/>
  <c r="G129" i="7" s="1"/>
  <c r="H130" i="7"/>
  <c r="H131" i="7"/>
  <c r="H132" i="7"/>
  <c r="G132" i="7" s="1"/>
  <c r="H133" i="7"/>
  <c r="G133" i="7" s="1"/>
  <c r="H134" i="7"/>
  <c r="G134" i="7" s="1"/>
  <c r="H135" i="7"/>
  <c r="G135" i="7" s="1"/>
  <c r="H136" i="7"/>
  <c r="G136" i="7" s="1"/>
  <c r="H137" i="7"/>
  <c r="H138" i="7"/>
  <c r="H139" i="7"/>
  <c r="G139" i="7" s="1"/>
  <c r="H140" i="7"/>
  <c r="G140" i="7" s="1"/>
  <c r="H141" i="7"/>
  <c r="G141" i="7" s="1"/>
  <c r="H142" i="7"/>
  <c r="G142" i="7" s="1"/>
  <c r="H143" i="7"/>
  <c r="H144" i="7"/>
  <c r="G144" i="7" s="1"/>
  <c r="H145" i="7"/>
  <c r="G145" i="7" s="1"/>
  <c r="H146" i="7"/>
  <c r="G146" i="7" s="1"/>
  <c r="H147" i="7"/>
  <c r="G147" i="7" s="1"/>
  <c r="H148" i="7"/>
  <c r="G148" i="7" s="1"/>
  <c r="H149" i="7"/>
  <c r="G149" i="7" s="1"/>
  <c r="H150" i="7"/>
  <c r="G150" i="7" s="1"/>
  <c r="H151" i="7"/>
  <c r="G151" i="7" s="1"/>
  <c r="H152" i="7"/>
  <c r="G152" i="7" s="1"/>
  <c r="H153" i="7"/>
  <c r="G153" i="7" s="1"/>
  <c r="H154" i="7"/>
  <c r="H155" i="7"/>
  <c r="H156" i="7"/>
  <c r="H157" i="7"/>
  <c r="H158" i="7"/>
  <c r="G158" i="7" s="1"/>
  <c r="H159" i="7"/>
  <c r="G159" i="7" s="1"/>
  <c r="H160" i="7"/>
  <c r="G160" i="7" s="1"/>
  <c r="H161" i="7"/>
  <c r="G161" i="7" s="1"/>
  <c r="H162" i="7"/>
  <c r="G162" i="7" s="1"/>
  <c r="H163" i="7"/>
  <c r="G163" i="7" s="1"/>
  <c r="H164" i="7"/>
  <c r="G164" i="7" s="1"/>
  <c r="H165" i="7"/>
  <c r="G165" i="7" s="1"/>
  <c r="H166" i="7"/>
  <c r="G166" i="7" s="1"/>
  <c r="H167" i="7"/>
  <c r="G167" i="7" s="1"/>
  <c r="H168" i="7"/>
  <c r="G168" i="7" s="1"/>
  <c r="H169" i="7"/>
  <c r="G169" i="7" s="1"/>
  <c r="H170" i="7"/>
  <c r="G170" i="7" s="1"/>
  <c r="H171" i="7"/>
  <c r="G171" i="7" s="1"/>
  <c r="H172" i="7"/>
  <c r="G172" i="7" s="1"/>
  <c r="H173" i="7"/>
  <c r="G173" i="7" s="1"/>
  <c r="H174" i="7"/>
  <c r="G174" i="7" s="1"/>
  <c r="H175" i="7"/>
  <c r="G175" i="7" s="1"/>
  <c r="H176" i="7"/>
  <c r="G176" i="7" s="1"/>
  <c r="H177" i="7"/>
  <c r="G177" i="7" s="1"/>
  <c r="H178" i="7"/>
  <c r="G178" i="7" s="1"/>
  <c r="H179" i="7"/>
  <c r="G179" i="7" s="1"/>
  <c r="H180" i="7"/>
  <c r="G180" i="7" s="1"/>
  <c r="H181" i="7"/>
  <c r="G181" i="7" s="1"/>
  <c r="H182" i="7"/>
  <c r="G182" i="7" s="1"/>
  <c r="H183" i="7"/>
  <c r="G183" i="7" s="1"/>
  <c r="H184" i="7"/>
  <c r="G184" i="7" s="1"/>
  <c r="H185" i="7"/>
  <c r="G185" i="7" s="1"/>
  <c r="H186" i="7"/>
  <c r="G186" i="7" s="1"/>
  <c r="H187" i="7"/>
  <c r="G187" i="7" s="1"/>
  <c r="H188" i="7"/>
  <c r="G188" i="7" s="1"/>
  <c r="H189" i="7"/>
  <c r="G189" i="7" s="1"/>
  <c r="H190" i="7"/>
  <c r="G190" i="7" s="1"/>
  <c r="H191" i="7"/>
  <c r="G191" i="7" s="1"/>
  <c r="H192" i="7"/>
  <c r="G192" i="7" s="1"/>
  <c r="H193" i="7"/>
  <c r="G193" i="7" s="1"/>
  <c r="H194" i="7"/>
  <c r="G194" i="7" s="1"/>
  <c r="H195" i="7"/>
  <c r="G195" i="7" s="1"/>
  <c r="H196" i="7"/>
  <c r="G196" i="7" s="1"/>
  <c r="H197" i="7"/>
  <c r="G197" i="7" s="1"/>
  <c r="H198" i="7"/>
  <c r="G198" i="7" s="1"/>
  <c r="H199" i="7"/>
  <c r="G199" i="7" s="1"/>
  <c r="H200" i="7"/>
  <c r="G200" i="7" s="1"/>
  <c r="H201" i="7"/>
  <c r="G201" i="7" s="1"/>
  <c r="H202" i="7"/>
  <c r="G202" i="7" s="1"/>
  <c r="H203" i="7"/>
  <c r="G203" i="7" s="1"/>
  <c r="H204" i="7"/>
  <c r="G204" i="7" s="1"/>
  <c r="H205" i="7"/>
  <c r="G205" i="7" s="1"/>
  <c r="H206" i="7"/>
  <c r="G206" i="7" s="1"/>
  <c r="H207" i="7"/>
  <c r="G207" i="7" s="1"/>
  <c r="H208" i="7"/>
  <c r="G208" i="7" s="1"/>
  <c r="H209" i="7"/>
  <c r="G209" i="7" s="1"/>
  <c r="H210" i="7"/>
  <c r="G210" i="7" s="1"/>
  <c r="H211" i="7"/>
  <c r="G211" i="7" s="1"/>
  <c r="H212" i="7"/>
  <c r="G212" i="7" s="1"/>
  <c r="H213" i="7"/>
  <c r="G213" i="7" s="1"/>
  <c r="H214" i="7"/>
  <c r="H215" i="7"/>
  <c r="H216" i="7"/>
  <c r="H217" i="7"/>
  <c r="G217" i="7" s="1"/>
  <c r="H218" i="7"/>
  <c r="G218" i="7" s="1"/>
  <c r="H219" i="7"/>
  <c r="G219" i="7" s="1"/>
  <c r="H220" i="7"/>
  <c r="G220" i="7" s="1"/>
  <c r="H221" i="7"/>
  <c r="G221" i="7" s="1"/>
  <c r="H222" i="7"/>
  <c r="G222" i="7" s="1"/>
  <c r="H223" i="7"/>
  <c r="G223" i="7" s="1"/>
  <c r="H224" i="7"/>
  <c r="G224" i="7" s="1"/>
  <c r="H225" i="7"/>
  <c r="G225" i="7" s="1"/>
  <c r="H226" i="7"/>
  <c r="G226" i="7" s="1"/>
  <c r="H227" i="7"/>
  <c r="G227" i="7" s="1"/>
  <c r="H228" i="7"/>
  <c r="G228" i="7" s="1"/>
  <c r="H229" i="7"/>
  <c r="G229" i="7" s="1"/>
  <c r="H230" i="7"/>
  <c r="G230" i="7" s="1"/>
  <c r="H231" i="7"/>
  <c r="G231" i="7" s="1"/>
  <c r="H232" i="7"/>
  <c r="G232" i="7" s="1"/>
  <c r="H233" i="7"/>
  <c r="G233" i="7" s="1"/>
  <c r="H234" i="7"/>
  <c r="G234" i="7" s="1"/>
  <c r="H235" i="7"/>
  <c r="G235" i="7" s="1"/>
  <c r="H236" i="7"/>
  <c r="G236" i="7" s="1"/>
  <c r="H237" i="7"/>
  <c r="G237" i="7" s="1"/>
  <c r="H238" i="7"/>
  <c r="G238" i="7" s="1"/>
  <c r="H239" i="7"/>
  <c r="G239" i="7" s="1"/>
  <c r="H240" i="7"/>
  <c r="G240" i="7" s="1"/>
  <c r="H241" i="7"/>
  <c r="G241" i="7" s="1"/>
  <c r="H242" i="7"/>
  <c r="G242" i="7" s="1"/>
  <c r="H243" i="7"/>
  <c r="G243" i="7" s="1"/>
  <c r="H244" i="7"/>
  <c r="G244" i="7" s="1"/>
  <c r="H245" i="7"/>
  <c r="G245" i="7" s="1"/>
  <c r="H246" i="7"/>
  <c r="G246" i="7" s="1"/>
  <c r="H247" i="7"/>
  <c r="G247" i="7" s="1"/>
  <c r="H248" i="7"/>
  <c r="G248" i="7" s="1"/>
  <c r="H249" i="7"/>
  <c r="G249" i="7" s="1"/>
  <c r="H250" i="7"/>
  <c r="H251" i="7"/>
  <c r="H252" i="7"/>
  <c r="G252" i="7" s="1"/>
  <c r="H253" i="7"/>
  <c r="G253" i="7" s="1"/>
  <c r="H254" i="7"/>
  <c r="G254" i="7" s="1"/>
  <c r="H255" i="7"/>
  <c r="G255" i="7" s="1"/>
  <c r="H256" i="7"/>
  <c r="G256" i="7" s="1"/>
  <c r="H257" i="7"/>
  <c r="G257" i="7" s="1"/>
  <c r="H258" i="7"/>
  <c r="G258" i="7" s="1"/>
  <c r="H259" i="7"/>
  <c r="G259" i="7" s="1"/>
  <c r="H260" i="7"/>
  <c r="G260" i="7" s="1"/>
  <c r="H261" i="7"/>
  <c r="G261" i="7" s="1"/>
  <c r="H262" i="7"/>
  <c r="H263" i="7"/>
  <c r="H264" i="7"/>
  <c r="G264" i="7" s="1"/>
  <c r="H265" i="7"/>
  <c r="G265" i="7" s="1"/>
  <c r="H266" i="7"/>
  <c r="G266" i="7" s="1"/>
  <c r="H267" i="7"/>
  <c r="G267" i="7" s="1"/>
  <c r="H268" i="7"/>
  <c r="G268" i="7" s="1"/>
  <c r="H269" i="7"/>
  <c r="G269" i="7" s="1"/>
  <c r="H270" i="7"/>
  <c r="G270" i="7" s="1"/>
  <c r="H271" i="7"/>
  <c r="G271" i="7" s="1"/>
  <c r="H272" i="7"/>
  <c r="G272" i="7" s="1"/>
  <c r="H273" i="7"/>
  <c r="G273" i="7" s="1"/>
  <c r="H274" i="7"/>
  <c r="G274" i="7" s="1"/>
  <c r="H275" i="7"/>
  <c r="G275" i="7" s="1"/>
  <c r="H276" i="7"/>
  <c r="G276" i="7" s="1"/>
  <c r="H277" i="7"/>
  <c r="G277" i="7" s="1"/>
  <c r="H278" i="7"/>
  <c r="G278" i="7" s="1"/>
  <c r="H279" i="7"/>
  <c r="G279" i="7" s="1"/>
  <c r="H280" i="7"/>
  <c r="G280" i="7" s="1"/>
  <c r="H281" i="7"/>
  <c r="G281" i="7" s="1"/>
  <c r="H282" i="7"/>
  <c r="G282" i="7" s="1"/>
  <c r="H283" i="7"/>
  <c r="G283" i="7" s="1"/>
  <c r="H284" i="7"/>
  <c r="G284" i="7" s="1"/>
  <c r="H285" i="7"/>
  <c r="G285" i="7" s="1"/>
  <c r="H286" i="7"/>
  <c r="G286" i="7" s="1"/>
  <c r="H287" i="7"/>
  <c r="H288" i="7"/>
  <c r="H289" i="7"/>
  <c r="H290" i="7"/>
  <c r="G290" i="7" s="1"/>
  <c r="H291" i="7"/>
  <c r="G291" i="7" s="1"/>
  <c r="H292" i="7"/>
  <c r="G292" i="7" s="1"/>
  <c r="H293" i="7"/>
  <c r="G293" i="7" s="1"/>
  <c r="H294" i="7"/>
  <c r="G294" i="7" s="1"/>
  <c r="H295" i="7"/>
  <c r="G295" i="7" s="1"/>
  <c r="H296" i="7"/>
  <c r="G296" i="7" s="1"/>
  <c r="H297" i="7"/>
  <c r="G297" i="7" s="1"/>
  <c r="H298" i="7"/>
  <c r="H299" i="7"/>
  <c r="G299" i="7" s="1"/>
  <c r="H300" i="7"/>
  <c r="G300" i="7" s="1"/>
  <c r="H301" i="7"/>
  <c r="G301" i="7" s="1"/>
  <c r="H302" i="7"/>
  <c r="G302" i="7" s="1"/>
  <c r="H303" i="7"/>
  <c r="G303" i="7" s="1"/>
  <c r="H304" i="7"/>
  <c r="G304" i="7" s="1"/>
  <c r="H305" i="7"/>
  <c r="G305" i="7" s="1"/>
  <c r="H306" i="7"/>
  <c r="G306" i="7" s="1"/>
  <c r="H307" i="7"/>
  <c r="G307" i="7" s="1"/>
  <c r="H308" i="7"/>
  <c r="G308" i="7" s="1"/>
  <c r="H309" i="7"/>
  <c r="G309" i="7" s="1"/>
  <c r="H310" i="7"/>
  <c r="G310" i="7" s="1"/>
  <c r="H311" i="7"/>
  <c r="G311" i="7" s="1"/>
  <c r="H312" i="7"/>
  <c r="G312" i="7" s="1"/>
  <c r="H313" i="7"/>
  <c r="G313" i="7" s="1"/>
  <c r="H314" i="7"/>
  <c r="G314" i="7" s="1"/>
  <c r="H315" i="7"/>
  <c r="G315" i="7" s="1"/>
  <c r="H316" i="7"/>
  <c r="G316" i="7" s="1"/>
  <c r="H317" i="7"/>
  <c r="G317" i="7" s="1"/>
  <c r="H318" i="7"/>
  <c r="G318" i="7" s="1"/>
  <c r="H319" i="7"/>
  <c r="G319" i="7" s="1"/>
  <c r="H320" i="7"/>
  <c r="G320" i="7" s="1"/>
  <c r="H321" i="7"/>
  <c r="G321" i="7" s="1"/>
  <c r="H322" i="7"/>
  <c r="G322" i="7" s="1"/>
  <c r="H323" i="7"/>
  <c r="G323" i="7" s="1"/>
  <c r="H324" i="7"/>
  <c r="G324" i="7" s="1"/>
  <c r="H325" i="7"/>
  <c r="G325" i="7" s="1"/>
  <c r="H326" i="7"/>
  <c r="G326" i="7" s="1"/>
  <c r="H327" i="7"/>
  <c r="G327" i="7" s="1"/>
  <c r="H328" i="7"/>
  <c r="G328" i="7" s="1"/>
  <c r="H329" i="7"/>
  <c r="G329" i="7" s="1"/>
  <c r="H330" i="7"/>
  <c r="G330" i="7" s="1"/>
  <c r="H331" i="7"/>
  <c r="G331" i="7" s="1"/>
  <c r="H332" i="7"/>
  <c r="G332" i="7" s="1"/>
  <c r="H333" i="7"/>
  <c r="G333" i="7" s="1"/>
  <c r="H334" i="7"/>
  <c r="G334" i="7" s="1"/>
  <c r="H335" i="7"/>
  <c r="H336" i="7"/>
  <c r="H337" i="7"/>
  <c r="H338" i="7"/>
  <c r="G338" i="7" s="1"/>
  <c r="H339" i="7"/>
  <c r="G339" i="7" s="1"/>
  <c r="H340" i="7"/>
  <c r="G340" i="7" s="1"/>
  <c r="H341" i="7"/>
  <c r="G341" i="7" s="1"/>
  <c r="H342" i="7"/>
  <c r="G342" i="7" s="1"/>
  <c r="H343" i="7"/>
  <c r="G343" i="7" s="1"/>
  <c r="H344" i="7"/>
  <c r="G344" i="7" s="1"/>
  <c r="H345" i="7"/>
  <c r="G345" i="7" s="1"/>
  <c r="H346" i="7"/>
  <c r="G346" i="7" s="1"/>
  <c r="H347" i="7"/>
  <c r="G347" i="7" s="1"/>
  <c r="H348" i="7"/>
  <c r="G348" i="7" s="1"/>
  <c r="H349" i="7"/>
  <c r="G349" i="7" s="1"/>
  <c r="H350" i="7"/>
  <c r="G350" i="7" s="1"/>
  <c r="H351" i="7"/>
  <c r="G351" i="7" s="1"/>
  <c r="H352" i="7"/>
  <c r="G352" i="7" s="1"/>
  <c r="H353" i="7"/>
  <c r="G353" i="7" s="1"/>
  <c r="H354" i="7"/>
  <c r="G354" i="7" s="1"/>
  <c r="H355" i="7"/>
  <c r="G355" i="7" s="1"/>
  <c r="H356" i="7"/>
  <c r="G356" i="7" s="1"/>
  <c r="H357" i="7"/>
  <c r="G357" i="7" s="1"/>
  <c r="H358" i="7"/>
  <c r="G358" i="7" s="1"/>
  <c r="H359" i="7"/>
  <c r="G359" i="7" s="1"/>
  <c r="H360" i="7"/>
  <c r="G360" i="7" s="1"/>
  <c r="H361" i="7"/>
  <c r="G361" i="7" s="1"/>
  <c r="H362" i="7"/>
  <c r="G362" i="7" s="1"/>
  <c r="H363" i="7"/>
  <c r="G363" i="7" s="1"/>
  <c r="H364" i="7"/>
  <c r="G364" i="7" s="1"/>
  <c r="H365" i="7"/>
  <c r="G365" i="7" s="1"/>
  <c r="H366" i="7"/>
  <c r="G366" i="7" s="1"/>
  <c r="H367" i="7"/>
  <c r="G367" i="7" s="1"/>
  <c r="H368" i="7"/>
  <c r="G368" i="7" s="1"/>
  <c r="H369" i="7"/>
  <c r="G369" i="7" s="1"/>
  <c r="H370" i="7"/>
  <c r="H371" i="7"/>
  <c r="H372" i="7"/>
  <c r="H373" i="7"/>
  <c r="H374" i="7"/>
  <c r="H375" i="7"/>
  <c r="H376" i="7"/>
  <c r="G376" i="7" s="1"/>
  <c r="H377" i="7"/>
  <c r="G377" i="7" s="1"/>
  <c r="H378" i="7"/>
  <c r="G378" i="7" s="1"/>
  <c r="H379" i="7"/>
  <c r="G379" i="7" s="1"/>
  <c r="H380" i="7"/>
  <c r="G380" i="7" s="1"/>
  <c r="H381" i="7"/>
  <c r="G381" i="7" s="1"/>
  <c r="H382" i="7"/>
  <c r="G382" i="7" s="1"/>
  <c r="H383" i="7"/>
  <c r="G383" i="7" s="1"/>
  <c r="H384" i="7"/>
  <c r="G384" i="7" s="1"/>
  <c r="H385" i="7"/>
  <c r="G385" i="7" s="1"/>
  <c r="H386" i="7"/>
  <c r="G386" i="7" s="1"/>
  <c r="H387" i="7"/>
  <c r="G387" i="7" s="1"/>
  <c r="H388" i="7"/>
  <c r="G388" i="7" s="1"/>
  <c r="H389" i="7"/>
  <c r="G389" i="7" s="1"/>
  <c r="H390" i="7"/>
  <c r="G390" i="7" s="1"/>
  <c r="H391" i="7"/>
  <c r="G391" i="7" s="1"/>
  <c r="H392" i="7"/>
  <c r="G392" i="7" s="1"/>
  <c r="H393" i="7"/>
  <c r="G393" i="7" s="1"/>
  <c r="H394" i="7"/>
  <c r="G394" i="7" s="1"/>
  <c r="H395" i="7"/>
  <c r="G395" i="7" s="1"/>
  <c r="H396" i="7"/>
  <c r="G396" i="7" s="1"/>
  <c r="H397" i="7"/>
  <c r="G397" i="7" s="1"/>
  <c r="H398" i="7"/>
  <c r="G398" i="7" s="1"/>
  <c r="H399" i="7"/>
  <c r="G399" i="7" s="1"/>
  <c r="H400" i="7"/>
  <c r="G400" i="7" s="1"/>
  <c r="H401" i="7"/>
  <c r="G401" i="7" s="1"/>
  <c r="H402" i="7"/>
  <c r="G402" i="7" s="1"/>
  <c r="H403" i="7"/>
  <c r="G403" i="7" s="1"/>
  <c r="H404" i="7"/>
  <c r="G404" i="7" s="1"/>
  <c r="H405" i="7"/>
  <c r="G405" i="7" s="1"/>
  <c r="H406" i="7"/>
  <c r="H407" i="7"/>
  <c r="H408" i="7"/>
  <c r="H409" i="7"/>
  <c r="H410" i="7"/>
  <c r="G410" i="7" s="1"/>
  <c r="H411" i="7"/>
  <c r="G411" i="7" s="1"/>
  <c r="H412" i="7"/>
  <c r="G412" i="7" s="1"/>
  <c r="H413" i="7"/>
  <c r="G413" i="7" s="1"/>
  <c r="H414" i="7"/>
  <c r="G414" i="7" s="1"/>
  <c r="H415" i="7"/>
  <c r="G415" i="7" s="1"/>
  <c r="H416" i="7"/>
  <c r="G416" i="7" s="1"/>
  <c r="H417" i="7"/>
  <c r="G417" i="7" s="1"/>
  <c r="H418" i="7"/>
  <c r="H419" i="7"/>
  <c r="H420" i="7"/>
  <c r="G420" i="7" s="1"/>
  <c r="H421" i="7"/>
  <c r="G421" i="7" s="1"/>
  <c r="H422" i="7"/>
  <c r="G422" i="7" s="1"/>
  <c r="H423" i="7"/>
  <c r="G423" i="7" s="1"/>
  <c r="H424" i="7"/>
  <c r="G424" i="7" s="1"/>
  <c r="H425" i="7"/>
  <c r="H426" i="7"/>
  <c r="H427" i="7"/>
  <c r="G427" i="7" s="1"/>
  <c r="H428" i="7"/>
  <c r="G428" i="7" s="1"/>
  <c r="H429" i="7"/>
  <c r="G429" i="7" s="1"/>
  <c r="H430" i="7"/>
  <c r="G430" i="7" s="1"/>
  <c r="H431" i="7"/>
  <c r="H432" i="7"/>
  <c r="G432" i="7" s="1"/>
  <c r="H433" i="7"/>
  <c r="G433" i="7" s="1"/>
  <c r="H434" i="7"/>
  <c r="G434" i="7" s="1"/>
  <c r="H435" i="7"/>
  <c r="G435" i="7" s="1"/>
  <c r="H436" i="7"/>
  <c r="G436" i="7" s="1"/>
  <c r="H437" i="7"/>
  <c r="G437" i="7" s="1"/>
  <c r="H438" i="7"/>
  <c r="G438" i="7" s="1"/>
  <c r="H439" i="7"/>
  <c r="G439" i="7" s="1"/>
  <c r="H440" i="7"/>
  <c r="G440" i="7" s="1"/>
  <c r="H441" i="7"/>
  <c r="G441" i="7" s="1"/>
  <c r="H442" i="7"/>
  <c r="H443" i="7"/>
  <c r="H444" i="7"/>
  <c r="H445" i="7"/>
  <c r="H446" i="7"/>
  <c r="G446" i="7" s="1"/>
  <c r="H447" i="7"/>
  <c r="G447" i="7" s="1"/>
  <c r="H448" i="7"/>
  <c r="G448" i="7" s="1"/>
  <c r="H449" i="7"/>
  <c r="G449" i="7" s="1"/>
  <c r="H450" i="7"/>
  <c r="G450" i="7" s="1"/>
  <c r="H451" i="7"/>
  <c r="G451" i="7" s="1"/>
  <c r="H452" i="7"/>
  <c r="G452" i="7" s="1"/>
  <c r="H453" i="7"/>
  <c r="G453" i="7" s="1"/>
  <c r="H454" i="7"/>
  <c r="G454" i="7" s="1"/>
  <c r="H455" i="7"/>
  <c r="G455" i="7" s="1"/>
  <c r="H456" i="7"/>
  <c r="G456" i="7" s="1"/>
  <c r="H457" i="7"/>
  <c r="G457" i="7" s="1"/>
  <c r="H458" i="7"/>
  <c r="G458" i="7" s="1"/>
  <c r="H459" i="7"/>
  <c r="G459" i="7" s="1"/>
  <c r="H460" i="7"/>
  <c r="G460" i="7" s="1"/>
  <c r="H461" i="7"/>
  <c r="G461" i="7" s="1"/>
  <c r="H462" i="7"/>
  <c r="G462" i="7" s="1"/>
  <c r="H463" i="7"/>
  <c r="G463" i="7" s="1"/>
  <c r="H464" i="7"/>
  <c r="G464" i="7" s="1"/>
  <c r="H465" i="7"/>
  <c r="G465" i="7" s="1"/>
  <c r="H466" i="7"/>
  <c r="G466" i="7" s="1"/>
  <c r="H467" i="7"/>
  <c r="G467" i="7" s="1"/>
  <c r="H468" i="7"/>
  <c r="G468" i="7" s="1"/>
  <c r="H469" i="7"/>
  <c r="G469" i="7" s="1"/>
  <c r="H470" i="7"/>
  <c r="G470" i="7" s="1"/>
  <c r="H471" i="7"/>
  <c r="G471" i="7" s="1"/>
  <c r="H472" i="7"/>
  <c r="G472" i="7" s="1"/>
  <c r="H473" i="7"/>
  <c r="G473" i="7" s="1"/>
  <c r="H474" i="7"/>
  <c r="G474" i="7" s="1"/>
  <c r="H475" i="7"/>
  <c r="G475" i="7" s="1"/>
  <c r="H476" i="7"/>
  <c r="G476" i="7" s="1"/>
  <c r="H477" i="7"/>
  <c r="G477" i="7" s="1"/>
  <c r="H478" i="7"/>
  <c r="G478" i="7" s="1"/>
  <c r="H479" i="7"/>
  <c r="G479" i="7" s="1"/>
  <c r="H480" i="7"/>
  <c r="G480" i="7" s="1"/>
  <c r="H481" i="7"/>
  <c r="G481" i="7" s="1"/>
  <c r="H482" i="7"/>
  <c r="G482" i="7" s="1"/>
  <c r="H483" i="7"/>
  <c r="G483" i="7" s="1"/>
  <c r="H484" i="7"/>
  <c r="G484" i="7" s="1"/>
  <c r="H485" i="7"/>
  <c r="G485" i="7" s="1"/>
  <c r="H486" i="7"/>
  <c r="G486" i="7" s="1"/>
  <c r="H487" i="7"/>
  <c r="G487" i="7" s="1"/>
  <c r="H488" i="7"/>
  <c r="G488" i="7" s="1"/>
  <c r="H489" i="7"/>
  <c r="G489" i="7" s="1"/>
  <c r="H490" i="7"/>
  <c r="G490" i="7" s="1"/>
  <c r="H491" i="7"/>
  <c r="G491" i="7" s="1"/>
  <c r="H492" i="7"/>
  <c r="G492" i="7" s="1"/>
  <c r="H493" i="7"/>
  <c r="G493" i="7" s="1"/>
  <c r="H494" i="7"/>
  <c r="G494" i="7" s="1"/>
  <c r="H495" i="7"/>
  <c r="G495" i="7" s="1"/>
  <c r="H496" i="7"/>
  <c r="G496" i="7" s="1"/>
  <c r="H497" i="7"/>
  <c r="G497" i="7" s="1"/>
  <c r="H498" i="7"/>
  <c r="G498" i="7" s="1"/>
  <c r="H499" i="7"/>
  <c r="G499" i="7" s="1"/>
  <c r="H500" i="7"/>
  <c r="G500" i="7" s="1"/>
  <c r="H501" i="7"/>
  <c r="G501" i="7" s="1"/>
  <c r="H2" i="7"/>
</calcChain>
</file>

<file path=xl/sharedStrings.xml><?xml version="1.0" encoding="utf-8"?>
<sst xmlns="http://schemas.openxmlformats.org/spreadsheetml/2006/main" count="1539" uniqueCount="329">
  <si>
    <t>shop_id</t>
  </si>
  <si>
    <t>shop_name</t>
  </si>
  <si>
    <t>city</t>
  </si>
  <si>
    <t>state</t>
  </si>
  <si>
    <t>country</t>
  </si>
  <si>
    <t>Central Perk</t>
  </si>
  <si>
    <t>Ranchi</t>
  </si>
  <si>
    <t>Jharkhand</t>
  </si>
  <si>
    <t>India</t>
  </si>
  <si>
    <t>Brew Lab</t>
  </si>
  <si>
    <t>Bangalore</t>
  </si>
  <si>
    <t>Karnataka</t>
  </si>
  <si>
    <t>Bean Palace</t>
  </si>
  <si>
    <t>Mumbai</t>
  </si>
  <si>
    <t>Maharashtra</t>
  </si>
  <si>
    <t>Roast &amp; Toast</t>
  </si>
  <si>
    <t>Delhi</t>
  </si>
  <si>
    <t>Highland Beans</t>
  </si>
  <si>
    <t>Shimla</t>
  </si>
  <si>
    <t>Himachal Pradesh</t>
  </si>
  <si>
    <t>Coastal Brew</t>
  </si>
  <si>
    <t>Chennai</t>
  </si>
  <si>
    <t>Tamil Nadu</t>
  </si>
  <si>
    <t>Desert Roast</t>
  </si>
  <si>
    <t>Jaipur</t>
  </si>
  <si>
    <t>Rajasthan</t>
  </si>
  <si>
    <t>Riverfront Café</t>
  </si>
  <si>
    <t>Ahmedabad</t>
  </si>
  <si>
    <t>Gujarat</t>
  </si>
  <si>
    <t>Lakeside Brew</t>
  </si>
  <si>
    <t>Bhopal</t>
  </si>
  <si>
    <t>Madhya Pradesh</t>
  </si>
  <si>
    <t>Metro Grind</t>
  </si>
  <si>
    <t>Kolkata</t>
  </si>
  <si>
    <t>West Bengal</t>
  </si>
  <si>
    <t>customer_id</t>
  </si>
  <si>
    <t>customer_name</t>
  </si>
  <si>
    <t>gender</t>
  </si>
  <si>
    <t>loyalty_tier</t>
  </si>
  <si>
    <t>join_date</t>
  </si>
  <si>
    <t>Rahul Naik</t>
  </si>
  <si>
    <t>Male</t>
  </si>
  <si>
    <t>Gold</t>
  </si>
  <si>
    <t>Rajat Tiwari</t>
  </si>
  <si>
    <t>Bronze</t>
  </si>
  <si>
    <t>Muskaan Singh</t>
  </si>
  <si>
    <t>Female</t>
  </si>
  <si>
    <t>Myra Verma</t>
  </si>
  <si>
    <t>Raghav Bhatt</t>
  </si>
  <si>
    <t>Silver</t>
  </si>
  <si>
    <t>Aarav Naik</t>
  </si>
  <si>
    <t>Swati Bhatt</t>
  </si>
  <si>
    <t>Kriti Agarwal</t>
  </si>
  <si>
    <t>Platinum</t>
  </si>
  <si>
    <t>Nikhil Naik</t>
  </si>
  <si>
    <t>Aditya Bhatt</t>
  </si>
  <si>
    <t>Neha Patel</t>
  </si>
  <si>
    <t>Aniket Verma</t>
  </si>
  <si>
    <t>Abhishek Yadav</t>
  </si>
  <si>
    <t>Diya Gupta</t>
  </si>
  <si>
    <t>Anshul Bhatt</t>
  </si>
  <si>
    <t>Sara Verma</t>
  </si>
  <si>
    <t>Rohan Mehta</t>
  </si>
  <si>
    <t>Meera Patel</t>
  </si>
  <si>
    <t>Varun Singh</t>
  </si>
  <si>
    <t>Ananya Kapoor</t>
  </si>
  <si>
    <t>Harsh Mehta</t>
  </si>
  <si>
    <t>Tanvi Nair</t>
  </si>
  <si>
    <t>Siddharth Das</t>
  </si>
  <si>
    <t>Riya Kapor</t>
  </si>
  <si>
    <t>Arjun Ghosh</t>
  </si>
  <si>
    <t>Shreya Sharma</t>
  </si>
  <si>
    <t>Kunal Verma</t>
  </si>
  <si>
    <t>Pooja Singh</t>
  </si>
  <si>
    <t>Pranav Das</t>
  </si>
  <si>
    <t>Ira Gupta</t>
  </si>
  <si>
    <t>Yash Tripathi</t>
  </si>
  <si>
    <t>Saanvi Jain</t>
  </si>
  <si>
    <t>Krishna Patel</t>
  </si>
  <si>
    <t>Sneha Roy</t>
  </si>
  <si>
    <t>Ritvik Iyer</t>
  </si>
  <si>
    <t>Myra Sharma</t>
  </si>
  <si>
    <t>Manish Verma</t>
  </si>
  <si>
    <t>Kiara Chatterjee</t>
  </si>
  <si>
    <t>Vihaan Singh</t>
  </si>
  <si>
    <t>Shreya Gupta</t>
  </si>
  <si>
    <t>Dhruv Bansal</t>
  </si>
  <si>
    <t>Swati Tripathi</t>
  </si>
  <si>
    <t>Abhishek Kapoor</t>
  </si>
  <si>
    <t>Lakshmi Nair</t>
  </si>
  <si>
    <t>Karthik Naik</t>
  </si>
  <si>
    <t>Muskaan Verma</t>
  </si>
  <si>
    <t>Raghav Saxena</t>
  </si>
  <si>
    <t>Neha Gupta</t>
  </si>
  <si>
    <t>Aniket Singh</t>
  </si>
  <si>
    <t>Priya Sharma</t>
  </si>
  <si>
    <t>Nikhil Pandey</t>
  </si>
  <si>
    <t>Saanvi Agarwal</t>
  </si>
  <si>
    <t>Varun Mehta</t>
  </si>
  <si>
    <t>Diya Roy</t>
  </si>
  <si>
    <t>Harsh Gupta</t>
  </si>
  <si>
    <t>Sakshi Verma</t>
  </si>
  <si>
    <t>Rahul Das</t>
  </si>
  <si>
    <t>Ananya Patel</t>
  </si>
  <si>
    <t>Rajat Yadav</t>
  </si>
  <si>
    <t>Radhika Ghosh</t>
  </si>
  <si>
    <t>Aarav Sharma</t>
  </si>
  <si>
    <t>Meera Jain</t>
  </si>
  <si>
    <t>Rohan Verma</t>
  </si>
  <si>
    <t>Kiara Mehta</t>
  </si>
  <si>
    <t>Aditya Singh</t>
  </si>
  <si>
    <t>Neha Tripathi</t>
  </si>
  <si>
    <t>Kunal Sharma</t>
  </si>
  <si>
    <t>Shreya Nair</t>
  </si>
  <si>
    <t>Pranav Bhatt</t>
  </si>
  <si>
    <t>Ananya Das</t>
  </si>
  <si>
    <t>Arjun Gupta</t>
  </si>
  <si>
    <t>Pooja Roy</t>
  </si>
  <si>
    <t>Abhishek Mehta</t>
  </si>
  <si>
    <t>Ritvik Singh</t>
  </si>
  <si>
    <t>Sara Agarwal</t>
  </si>
  <si>
    <t>Varun Tripathi</t>
  </si>
  <si>
    <t>Diya Patel</t>
  </si>
  <si>
    <t>Yash Bansal</t>
  </si>
  <si>
    <t>Tanvi Mehta</t>
  </si>
  <si>
    <t>Krishna Verma</t>
  </si>
  <si>
    <t>Swati Singh</t>
  </si>
  <si>
    <t>Karthik Das</t>
  </si>
  <si>
    <t>Meera Roy</t>
  </si>
  <si>
    <t>Raghav Patel</t>
  </si>
  <si>
    <t>Neha Verma</t>
  </si>
  <si>
    <t>Aniket Mehta</t>
  </si>
  <si>
    <t>Nikhil Iyer</t>
  </si>
  <si>
    <t>Ananya Gupta</t>
  </si>
  <si>
    <t>Harsh Singh</t>
  </si>
  <si>
    <t>Riya Tripathi</t>
  </si>
  <si>
    <t>Manish Jain</t>
  </si>
  <si>
    <t>Kriti Das</t>
  </si>
  <si>
    <t>Pranav Sharma</t>
  </si>
  <si>
    <t>Pooja Verma</t>
  </si>
  <si>
    <t>Rahul Mehta</t>
  </si>
  <si>
    <t>Saanvi Patel</t>
  </si>
  <si>
    <t>Lakshmi Roy</t>
  </si>
  <si>
    <t>Aarav Verma</t>
  </si>
  <si>
    <t>Neha Mehta</t>
  </si>
  <si>
    <t>Ritvik Tripathi</t>
  </si>
  <si>
    <t>Shreya Das</t>
  </si>
  <si>
    <t>Raghav Sharma</t>
  </si>
  <si>
    <t>Ananya Jain</t>
  </si>
  <si>
    <t>Krishna Naik</t>
  </si>
  <si>
    <t>Muskaan Gupta</t>
  </si>
  <si>
    <t>Abhishek Roy</t>
  </si>
  <si>
    <t>Tanvi Patel</t>
  </si>
  <si>
    <t>Yash Verma</t>
  </si>
  <si>
    <t>Varun Agarwal</t>
  </si>
  <si>
    <t>Diya Mehta</t>
  </si>
  <si>
    <t>Rohan Sharma</t>
  </si>
  <si>
    <t>Meera Gupta</t>
  </si>
  <si>
    <t>Karthik Verma</t>
  </si>
  <si>
    <t>Swati Roy</t>
  </si>
  <si>
    <t>Rahul Patel</t>
  </si>
  <si>
    <t>Neha Singh</t>
  </si>
  <si>
    <t>Aditya Tripathi</t>
  </si>
  <si>
    <t>Sara Das</t>
  </si>
  <si>
    <t>Nikhil Sharma</t>
  </si>
  <si>
    <t>Shreya Verma</t>
  </si>
  <si>
    <t>Krishna Jain</t>
  </si>
  <si>
    <t>Muskaan Mehta</t>
  </si>
  <si>
    <t>Harsh Naik</t>
  </si>
  <si>
    <t>Kriti Singh</t>
  </si>
  <si>
    <t>Pranav Roy</t>
  </si>
  <si>
    <t>Pooja Agarwal</t>
  </si>
  <si>
    <t>Varun Patel</t>
  </si>
  <si>
    <t>Lakshmi Verma</t>
  </si>
  <si>
    <t>Raghav Mehta</t>
  </si>
  <si>
    <t>Ananya Singh</t>
  </si>
  <si>
    <t>Yash Sharma</t>
  </si>
  <si>
    <t>Meera Tripathi</t>
  </si>
  <si>
    <t>Abhishek Das</t>
  </si>
  <si>
    <t>Sara Patel</t>
  </si>
  <si>
    <t>Aarav Singh</t>
  </si>
  <si>
    <t>Neha Bansal</t>
  </si>
  <si>
    <t>Krishna Tripathi</t>
  </si>
  <si>
    <t>Tanvi Verma</t>
  </si>
  <si>
    <t>Rahul Jain</t>
  </si>
  <si>
    <t>Muskaan Das</t>
  </si>
  <si>
    <t>Varun Sharma</t>
  </si>
  <si>
    <t>Kunal Gupta</t>
  </si>
  <si>
    <t>Aditya Mehta</t>
  </si>
  <si>
    <t>Riya Verma</t>
  </si>
  <si>
    <t>Ritvik Das</t>
  </si>
  <si>
    <t>Diya Sharma</t>
  </si>
  <si>
    <t>Raghav Tripathi</t>
  </si>
  <si>
    <t>Nikhil Roy</t>
  </si>
  <si>
    <t>Saanvi Gupta</t>
  </si>
  <si>
    <t>Krishna Bansal</t>
  </si>
  <si>
    <t>Shreya Tripathi</t>
  </si>
  <si>
    <t>Kriti Naik</t>
  </si>
  <si>
    <t>Pooja Sharma</t>
  </si>
  <si>
    <t>Harsh Das</t>
  </si>
  <si>
    <t>Muskaan Patel</t>
  </si>
  <si>
    <t>Pranav Singh</t>
  </si>
  <si>
    <t>Sara Mehta</t>
  </si>
  <si>
    <t>Aarav Gupta</t>
  </si>
  <si>
    <t>Abhishek Tripathi</t>
  </si>
  <si>
    <t>Swati Das</t>
  </si>
  <si>
    <t>Diya Singh</t>
  </si>
  <si>
    <t>Kunal Mehta</t>
  </si>
  <si>
    <t>Shreya Roy</t>
  </si>
  <si>
    <t>Muskaan Jain</t>
  </si>
  <si>
    <t>Varun Das</t>
  </si>
  <si>
    <t>Meera Sharma</t>
  </si>
  <si>
    <t>Raghav Roy</t>
  </si>
  <si>
    <t>Nikhil Singh</t>
  </si>
  <si>
    <t>Pooja Mehta</t>
  </si>
  <si>
    <t>Harsh Sharma</t>
  </si>
  <si>
    <t>Kiara Gupta</t>
  </si>
  <si>
    <t>Abhishek Bansal</t>
  </si>
  <si>
    <t>Muskaan Tripathi</t>
  </si>
  <si>
    <t>Neha Das</t>
  </si>
  <si>
    <t>Aarav Mehta</t>
  </si>
  <si>
    <t>Sara Singh</t>
  </si>
  <si>
    <t>Ritvik Roy</t>
  </si>
  <si>
    <t>Nikhil Verma</t>
  </si>
  <si>
    <t>Aanvi Das</t>
  </si>
  <si>
    <t>Krishna Sharma</t>
  </si>
  <si>
    <t>Swati Patel</t>
  </si>
  <si>
    <t>Yash Singh</t>
  </si>
  <si>
    <t>Muskaan Roy</t>
  </si>
  <si>
    <t>Tanvi Sharma</t>
  </si>
  <si>
    <t>Pranav Verma</t>
  </si>
  <si>
    <t>Aarav Das</t>
  </si>
  <si>
    <t>Shreya Patel</t>
  </si>
  <si>
    <t>Rohan Singh</t>
  </si>
  <si>
    <t>Meera Verma</t>
  </si>
  <si>
    <t>Krishna Roy</t>
  </si>
  <si>
    <t>Harsh Tripathi</t>
  </si>
  <si>
    <t>Riya Das</t>
  </si>
  <si>
    <t>Sara Sharma</t>
  </si>
  <si>
    <t>Ritvik Patel</t>
  </si>
  <si>
    <t>Abhishek Singh</t>
  </si>
  <si>
    <t>Swati Mehta</t>
  </si>
  <si>
    <t>Yash Roy</t>
  </si>
  <si>
    <t>Kriti Gupta</t>
  </si>
  <si>
    <t>Saanvi Das</t>
  </si>
  <si>
    <t>Aditya Gupta</t>
  </si>
  <si>
    <t>Krishna Mehta</t>
  </si>
  <si>
    <t>Rohan Das</t>
  </si>
  <si>
    <t>Lakshmi Gupta</t>
  </si>
  <si>
    <t>product_id</t>
  </si>
  <si>
    <t>product_name</t>
  </si>
  <si>
    <t>base_price</t>
  </si>
  <si>
    <t>Espresso</t>
  </si>
  <si>
    <t>Cheesecake</t>
  </si>
  <si>
    <t>Americano</t>
  </si>
  <si>
    <t>NA</t>
  </si>
  <si>
    <t>Capuccino</t>
  </si>
  <si>
    <t>French Fries</t>
  </si>
  <si>
    <t>Latte</t>
  </si>
  <si>
    <t>Hazelnut Mocha</t>
  </si>
  <si>
    <t>Flat White</t>
  </si>
  <si>
    <t>Chocolate Chip Cookie</t>
  </si>
  <si>
    <t>Macchiato</t>
  </si>
  <si>
    <t>Nachos</t>
  </si>
  <si>
    <t>Cold Brew</t>
  </si>
  <si>
    <t>Garlic Bread</t>
  </si>
  <si>
    <t>Iced Latte</t>
  </si>
  <si>
    <t>Cheese Sandwich</t>
  </si>
  <si>
    <t>Hazelnut Affogato</t>
  </si>
  <si>
    <t>Filter Coffee</t>
  </si>
  <si>
    <t>Chocolate Brownie</t>
  </si>
  <si>
    <t>Cortado</t>
  </si>
  <si>
    <t>Granola Yogurt Parfait</t>
  </si>
  <si>
    <t>Irish Coffee</t>
  </si>
  <si>
    <t>Cheese Garlic Bread</t>
  </si>
  <si>
    <t>Turkish Coffee</t>
  </si>
  <si>
    <t>Ristretto</t>
  </si>
  <si>
    <t>Croissant</t>
  </si>
  <si>
    <t>Doppio</t>
  </si>
  <si>
    <t>Greek Salad</t>
  </si>
  <si>
    <t>Nitro Cold Brew</t>
  </si>
  <si>
    <t>Potato Wedges</t>
  </si>
  <si>
    <t>Caramel Latte</t>
  </si>
  <si>
    <t>Vanilla Latte</t>
  </si>
  <si>
    <t>Blueberry Muffin</t>
  </si>
  <si>
    <t>Hazelnut Latte</t>
  </si>
  <si>
    <t>Ice Cream Scoop</t>
  </si>
  <si>
    <t>Pumpkin Spice Latte</t>
  </si>
  <si>
    <t>Matcha Latte</t>
  </si>
  <si>
    <t>Chicken Roll</t>
  </si>
  <si>
    <t>Chai Latte</t>
  </si>
  <si>
    <t>Donut</t>
  </si>
  <si>
    <t>Hazelnut Frappe</t>
  </si>
  <si>
    <t>Chocolate Cake</t>
  </si>
  <si>
    <t>Frappuccino</t>
  </si>
  <si>
    <t>Iced Americano</t>
  </si>
  <si>
    <t>Veg Sandwich</t>
  </si>
  <si>
    <t>Iced Mocha</t>
  </si>
  <si>
    <t>Vietnamese Coffee</t>
  </si>
  <si>
    <t>Cafe Au Lait</t>
  </si>
  <si>
    <t>Piccolo Latte</t>
  </si>
  <si>
    <t>Brownie Sundae</t>
  </si>
  <si>
    <t>Irish Espresso</t>
  </si>
  <si>
    <t>Irish Americano</t>
  </si>
  <si>
    <t>Samosa</t>
  </si>
  <si>
    <t>Cheese Nachos</t>
  </si>
  <si>
    <t>Irish Latte</t>
  </si>
  <si>
    <t>Red Velvet Cake</t>
  </si>
  <si>
    <t>Hummus Platter</t>
  </si>
  <si>
    <t>Puff Pastry</t>
  </si>
  <si>
    <t>Chicken Sandwich</t>
  </si>
  <si>
    <t>Oatmeal Cookie</t>
  </si>
  <si>
    <t>Paneer Roll</t>
  </si>
  <si>
    <t>Fruit Bowl</t>
  </si>
  <si>
    <t>Frappe</t>
  </si>
  <si>
    <t>order_id</t>
  </si>
  <si>
    <t>quantity</t>
  </si>
  <si>
    <t>discount_pct</t>
  </si>
  <si>
    <t>total_amount</t>
  </si>
  <si>
    <t>payment_method</t>
  </si>
  <si>
    <t>Card</t>
  </si>
  <si>
    <t>Cash</t>
  </si>
  <si>
    <t>UPI</t>
  </si>
  <si>
    <t>order_date</t>
  </si>
  <si>
    <t>Price</t>
  </si>
  <si>
    <t>gross_amount</t>
  </si>
  <si>
    <t>refund_amount</t>
  </si>
  <si>
    <t>refund_count</t>
  </si>
  <si>
    <t>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</si>
</sst>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DF96CA-159C-4843-8E83-3C7167646059}" name="Table3" displayName="Table3" ref="A1:E11" totalsRowShown="0">
  <autoFilter ref="A1:E11" xr:uid="{ACDF96CA-159C-4843-8E83-3C7167646059}"/>
  <tableColumns count="5">
    <tableColumn id="1" xr3:uid="{D800D6E3-FFAB-48BB-A365-34DE1D7D671B}" name="shop_id"/>
    <tableColumn id="2" xr3:uid="{031E7B64-3DEC-4311-B506-196EF90A4920}" name="shop_name"/>
    <tableColumn id="3" xr3:uid="{375BA5CF-F097-4051-AEE8-B22518FD2D07}" name="city"/>
    <tableColumn id="4" xr3:uid="{66CBE4BD-AC7E-481D-BF33-72E8D3F8293E}" name="state"/>
    <tableColumn id="5" xr3:uid="{CB614673-D40B-4705-9B93-A7917F5E5B1F}" name="country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06352-B2F4-44BB-9518-AD8D12BE8A3F}" name="Table2" displayName="Table2" ref="A1:F251" totalsRowShown="0">
  <autoFilter ref="A1:F251" xr:uid="{45006352-B2F4-44BB-9518-AD8D12BE8A3F}"/>
  <tableColumns count="6">
    <tableColumn id="1" xr3:uid="{455324D6-598B-4AB6-BC92-80B3D660E35B}" name="customer_id"/>
    <tableColumn id="2" xr3:uid="{165EC44A-BC35-433D-BE58-BB303D610DDE}" name="customer_name"/>
    <tableColumn id="3" xr3:uid="{85135932-D850-4DCB-8FF5-152126911249}" name="gender"/>
    <tableColumn id="4" xr3:uid="{73CBAC9C-1C8C-4BA1-88A1-5D1A5621B292}" name="loyalty_tier"/>
    <tableColumn id="5" xr3:uid="{98D9EBD4-BF85-4097-AA3C-549DA216253E}" name="join_date" dataDxfId="6"/>
    <tableColumn id="6" xr3:uid="{6A60C668-9806-4AD1-995E-7129077A5C0C}" name="shop_id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CD7D9-65F8-4A6D-B3F9-977DA80EBBC0}" name="Table1" displayName="Table1" ref="A1:E111" totalsRowShown="0">
  <autoFilter ref="A1:E111" xr:uid="{31BCD7D9-65F8-4A6D-B3F9-977DA80EBBC0}"/>
  <tableColumns count="5">
    <tableColumn id="1" xr3:uid="{DEFA15B9-A139-423C-B89C-7415D6F5D9A1}" name="product_id"/>
    <tableColumn id="2" xr3:uid="{5A2D0F0C-D539-40AD-B0EF-778EBFD143B9}" name="product_name"/>
    <tableColumn id="3" xr3:uid="{B685496B-FF47-446D-9AB3-AFF48AC95DF8}" name="base_price" dataDxfId="5"/>
    <tableColumn id="4" xr3:uid="{A0B07903-C301-4710-8CB9-B913E85CB582}" name="shop_id"/>
    <tableColumn id="5" xr3:uid="{4512F485-0E2F-4A78-95B4-D52B5E6E4B47}" name="snacks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E01D8E-E7DE-4ACC-B43C-3D6CD7C3B728}" name="Table4" displayName="Table4" ref="A1:M501" totalsRowShown="0">
  <autoFilter ref="A1:M501" xr:uid="{D2E01D8E-E7DE-4ACC-B43C-3D6CD7C3B728}"/>
  <tableColumns count="13">
    <tableColumn id="1" xr3:uid="{8E1CDF22-B408-4E93-B083-A820A92453D0}" name="order_id"/>
    <tableColumn id="2" xr3:uid="{9F6708FE-346D-4080-A97B-0C34515EAE2A}" name="order_date" dataDxfId="4"/>
    <tableColumn id="3" xr3:uid="{E61EF852-3546-4B22-B96B-06C7CE25DDB9}" name="shop_id"/>
    <tableColumn id="4" xr3:uid="{EBA11A4F-260C-4C8E-9294-834D00207BD3}" name="customer_id"/>
    <tableColumn id="5" xr3:uid="{71782C6F-43FD-49AF-9B52-3FEB7224410D}" name="product_id"/>
    <tableColumn id="6" xr3:uid="{089ECC9F-35AD-41E0-81BB-47302E35253E}" name="quantity"/>
    <tableColumn id="7" xr3:uid="{9F20EA8F-DE04-4718-A5CD-8F5249FAC499}" name="Price" dataDxfId="3">
      <calculatedColumnFormula>Table4[[#This Row],[gross_amount]]/Table4[[#This Row],[quantity]]</calculatedColumnFormula>
    </tableColumn>
    <tableColumn id="8" xr3:uid="{9D89AC74-27B3-4C59-8A7F-6B41CD53AF03}" name="gross_amount" dataDxfId="2">
      <calculatedColumnFormula>Table4[[#This Row],[total_amount]]/(1-Table4[[#This Row],[discount_pct]]/100)</calculatedColumnFormula>
    </tableColumn>
    <tableColumn id="9" xr3:uid="{087063FC-589C-46B2-9C92-B5A94C042DA4}" name="discount_pct"/>
    <tableColumn id="10" xr3:uid="{C3AF73A4-BED9-430E-BFA4-CF1BF8E45178}" name="total_amount" dataDxfId="1"/>
    <tableColumn id="11" xr3:uid="{26C0B6BF-4904-46F7-B322-9B73D2E7614A}" name="payment_method"/>
    <tableColumn id="12" xr3:uid="{D18C9577-E529-4AA2-A2A6-6CF2B00CA035}" name="refund_amount" dataDxfId="0">
      <calculatedColumnFormula>Table4[[#This Row],[total_amount]]*Table4[[#This Row],[refund_count]]</calculatedColumnFormula>
    </tableColumn>
    <tableColumn id="13" xr3:uid="{11D93943-3E60-4904-AA29-3263675F8521}" name="refund_coun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defaultRowHeight="14.5" x14ac:dyDescent="0.35"/>
  <cols>
    <col min="1" max="1" width="9.36328125" customWidth="1"/>
    <col min="2" max="2" width="12.453125" customWidth="1"/>
    <col min="5" max="5" width="9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35">
      <c r="A4">
        <v>3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35">
      <c r="A5">
        <v>4</v>
      </c>
      <c r="B5" t="s">
        <v>15</v>
      </c>
      <c r="C5" t="s">
        <v>16</v>
      </c>
      <c r="D5" t="s">
        <v>16</v>
      </c>
      <c r="E5" t="s">
        <v>8</v>
      </c>
    </row>
    <row r="6" spans="1:5" x14ac:dyDescent="0.35">
      <c r="A6">
        <v>5</v>
      </c>
      <c r="B6" t="s">
        <v>17</v>
      </c>
      <c r="C6" t="s">
        <v>18</v>
      </c>
      <c r="D6" t="s">
        <v>19</v>
      </c>
      <c r="E6" t="s">
        <v>8</v>
      </c>
    </row>
    <row r="7" spans="1:5" x14ac:dyDescent="0.35">
      <c r="A7">
        <v>6</v>
      </c>
      <c r="B7" t="s">
        <v>20</v>
      </c>
      <c r="C7" t="s">
        <v>21</v>
      </c>
      <c r="D7" t="s">
        <v>22</v>
      </c>
      <c r="E7" t="s">
        <v>8</v>
      </c>
    </row>
    <row r="8" spans="1:5" x14ac:dyDescent="0.35">
      <c r="A8">
        <v>7</v>
      </c>
      <c r="B8" t="s">
        <v>23</v>
      </c>
      <c r="C8" t="s">
        <v>24</v>
      </c>
      <c r="D8" t="s">
        <v>25</v>
      </c>
      <c r="E8" t="s">
        <v>8</v>
      </c>
    </row>
    <row r="9" spans="1:5" x14ac:dyDescent="0.35">
      <c r="A9">
        <v>8</v>
      </c>
      <c r="B9" t="s">
        <v>26</v>
      </c>
      <c r="C9" t="s">
        <v>27</v>
      </c>
      <c r="D9" t="s">
        <v>28</v>
      </c>
      <c r="E9" t="s">
        <v>8</v>
      </c>
    </row>
    <row r="10" spans="1:5" x14ac:dyDescent="0.35">
      <c r="A10">
        <v>9</v>
      </c>
      <c r="B10" t="s">
        <v>29</v>
      </c>
      <c r="C10" t="s">
        <v>30</v>
      </c>
      <c r="D10" t="s">
        <v>31</v>
      </c>
      <c r="E10" t="s">
        <v>8</v>
      </c>
    </row>
    <row r="11" spans="1:5" x14ac:dyDescent="0.35">
      <c r="A11">
        <v>10</v>
      </c>
      <c r="B11" t="s">
        <v>32</v>
      </c>
      <c r="C11" t="s">
        <v>33</v>
      </c>
      <c r="D11" t="s">
        <v>34</v>
      </c>
      <c r="E1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1"/>
  <sheetViews>
    <sheetView workbookViewId="0">
      <selection activeCell="G4" sqref="G4"/>
    </sheetView>
  </sheetViews>
  <sheetFormatPr defaultRowHeight="14.5" x14ac:dyDescent="0.35"/>
  <cols>
    <col min="1" max="1" width="13.1796875" customWidth="1"/>
    <col min="2" max="2" width="16.26953125" customWidth="1"/>
    <col min="4" max="4" width="12" customWidth="1"/>
    <col min="5" max="5" width="10.54296875" customWidth="1"/>
    <col min="6" max="6" width="9.36328125" customWidth="1"/>
  </cols>
  <sheetData>
    <row r="1" spans="1:6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0</v>
      </c>
    </row>
    <row r="2" spans="1:6" x14ac:dyDescent="0.35">
      <c r="A2">
        <v>1</v>
      </c>
      <c r="B2" t="s">
        <v>40</v>
      </c>
      <c r="C2" t="s">
        <v>41</v>
      </c>
      <c r="D2" t="s">
        <v>42</v>
      </c>
      <c r="E2" s="1">
        <v>45845</v>
      </c>
      <c r="F2">
        <v>5</v>
      </c>
    </row>
    <row r="3" spans="1:6" x14ac:dyDescent="0.35">
      <c r="A3">
        <v>2</v>
      </c>
      <c r="B3" t="s">
        <v>43</v>
      </c>
      <c r="C3" t="s">
        <v>41</v>
      </c>
      <c r="D3" t="s">
        <v>44</v>
      </c>
      <c r="E3" s="1">
        <v>45744</v>
      </c>
      <c r="F3">
        <v>5</v>
      </c>
    </row>
    <row r="4" spans="1:6" x14ac:dyDescent="0.35">
      <c r="A4">
        <v>3</v>
      </c>
      <c r="B4" t="s">
        <v>45</v>
      </c>
      <c r="C4" t="s">
        <v>46</v>
      </c>
      <c r="D4" t="s">
        <v>44</v>
      </c>
      <c r="E4" s="1">
        <v>45914</v>
      </c>
      <c r="F4">
        <v>8</v>
      </c>
    </row>
    <row r="5" spans="1:6" x14ac:dyDescent="0.35">
      <c r="A5">
        <v>4</v>
      </c>
      <c r="B5" t="s">
        <v>47</v>
      </c>
      <c r="C5" t="s">
        <v>46</v>
      </c>
      <c r="D5" t="s">
        <v>44</v>
      </c>
      <c r="E5" s="1">
        <v>45933</v>
      </c>
      <c r="F5">
        <v>1</v>
      </c>
    </row>
    <row r="6" spans="1:6" x14ac:dyDescent="0.35">
      <c r="A6">
        <v>5</v>
      </c>
      <c r="B6" t="s">
        <v>48</v>
      </c>
      <c r="C6" t="s">
        <v>41</v>
      </c>
      <c r="D6" t="s">
        <v>49</v>
      </c>
      <c r="E6" s="1">
        <v>45706</v>
      </c>
      <c r="F6">
        <v>10</v>
      </c>
    </row>
    <row r="7" spans="1:6" x14ac:dyDescent="0.35">
      <c r="A7">
        <v>6</v>
      </c>
      <c r="B7" t="s">
        <v>50</v>
      </c>
      <c r="C7" t="s">
        <v>41</v>
      </c>
      <c r="D7" t="s">
        <v>49</v>
      </c>
      <c r="E7" s="1">
        <v>45692</v>
      </c>
      <c r="F7">
        <v>2</v>
      </c>
    </row>
    <row r="8" spans="1:6" x14ac:dyDescent="0.35">
      <c r="A8">
        <v>7</v>
      </c>
      <c r="B8" t="s">
        <v>51</v>
      </c>
      <c r="C8" t="s">
        <v>46</v>
      </c>
      <c r="D8" t="s">
        <v>44</v>
      </c>
      <c r="E8" s="1">
        <v>45665</v>
      </c>
      <c r="F8">
        <v>3</v>
      </c>
    </row>
    <row r="9" spans="1:6" x14ac:dyDescent="0.35">
      <c r="A9">
        <v>8</v>
      </c>
      <c r="B9" t="s">
        <v>52</v>
      </c>
      <c r="C9" t="s">
        <v>46</v>
      </c>
      <c r="D9" t="s">
        <v>53</v>
      </c>
      <c r="E9" s="1">
        <v>45858</v>
      </c>
      <c r="F9">
        <v>8</v>
      </c>
    </row>
    <row r="10" spans="1:6" x14ac:dyDescent="0.35">
      <c r="A10">
        <v>9</v>
      </c>
      <c r="B10" t="s">
        <v>54</v>
      </c>
      <c r="C10" t="s">
        <v>41</v>
      </c>
      <c r="D10" t="s">
        <v>44</v>
      </c>
      <c r="E10" s="1">
        <v>45943</v>
      </c>
      <c r="F10">
        <v>3</v>
      </c>
    </row>
    <row r="11" spans="1:6" x14ac:dyDescent="0.35">
      <c r="A11">
        <v>10</v>
      </c>
      <c r="B11" t="s">
        <v>55</v>
      </c>
      <c r="C11" t="s">
        <v>41</v>
      </c>
      <c r="D11" t="s">
        <v>44</v>
      </c>
      <c r="E11" s="1">
        <v>45661</v>
      </c>
      <c r="F11">
        <v>2</v>
      </c>
    </row>
    <row r="12" spans="1:6" x14ac:dyDescent="0.35">
      <c r="A12">
        <v>11</v>
      </c>
      <c r="B12" t="s">
        <v>56</v>
      </c>
      <c r="C12" t="s">
        <v>46</v>
      </c>
      <c r="D12" t="s">
        <v>49</v>
      </c>
      <c r="E12" s="1">
        <v>45732</v>
      </c>
      <c r="F12">
        <v>4</v>
      </c>
    </row>
    <row r="13" spans="1:6" x14ac:dyDescent="0.35">
      <c r="A13">
        <v>12</v>
      </c>
      <c r="B13" t="s">
        <v>57</v>
      </c>
      <c r="C13" t="s">
        <v>41</v>
      </c>
      <c r="D13" t="s">
        <v>44</v>
      </c>
      <c r="E13" s="1">
        <v>45695</v>
      </c>
      <c r="F13">
        <v>9</v>
      </c>
    </row>
    <row r="14" spans="1:6" x14ac:dyDescent="0.35">
      <c r="A14">
        <v>13</v>
      </c>
      <c r="B14" t="s">
        <v>58</v>
      </c>
      <c r="C14" t="s">
        <v>41</v>
      </c>
      <c r="D14" t="s">
        <v>44</v>
      </c>
      <c r="E14" s="1">
        <v>45699</v>
      </c>
      <c r="F14">
        <v>7</v>
      </c>
    </row>
    <row r="15" spans="1:6" x14ac:dyDescent="0.35">
      <c r="A15">
        <v>14</v>
      </c>
      <c r="B15" t="s">
        <v>59</v>
      </c>
      <c r="C15" t="s">
        <v>46</v>
      </c>
      <c r="D15" t="s">
        <v>44</v>
      </c>
      <c r="E15" s="1">
        <v>45953</v>
      </c>
      <c r="F15">
        <v>8</v>
      </c>
    </row>
    <row r="16" spans="1:6" x14ac:dyDescent="0.35">
      <c r="A16">
        <v>15</v>
      </c>
      <c r="B16" t="s">
        <v>60</v>
      </c>
      <c r="C16" t="s">
        <v>41</v>
      </c>
      <c r="D16" t="s">
        <v>49</v>
      </c>
      <c r="E16" s="1">
        <v>45965</v>
      </c>
      <c r="F16">
        <v>6</v>
      </c>
    </row>
    <row r="17" spans="1:6" x14ac:dyDescent="0.35">
      <c r="A17">
        <v>16</v>
      </c>
      <c r="B17" t="s">
        <v>61</v>
      </c>
      <c r="C17" t="s">
        <v>46</v>
      </c>
      <c r="D17" t="s">
        <v>44</v>
      </c>
      <c r="E17" s="1">
        <v>45727</v>
      </c>
      <c r="F17">
        <v>2</v>
      </c>
    </row>
    <row r="18" spans="1:6" x14ac:dyDescent="0.35">
      <c r="A18">
        <v>17</v>
      </c>
      <c r="B18" t="s">
        <v>62</v>
      </c>
      <c r="C18" t="s">
        <v>41</v>
      </c>
      <c r="D18" t="s">
        <v>42</v>
      </c>
      <c r="E18" s="1">
        <v>45689</v>
      </c>
      <c r="F18">
        <v>9</v>
      </c>
    </row>
    <row r="19" spans="1:6" x14ac:dyDescent="0.35">
      <c r="A19">
        <v>18</v>
      </c>
      <c r="B19" t="s">
        <v>63</v>
      </c>
      <c r="C19" t="s">
        <v>46</v>
      </c>
      <c r="D19" t="s">
        <v>49</v>
      </c>
      <c r="E19" s="1">
        <v>46000</v>
      </c>
      <c r="F19">
        <v>10</v>
      </c>
    </row>
    <row r="20" spans="1:6" x14ac:dyDescent="0.35">
      <c r="A20">
        <v>19</v>
      </c>
      <c r="B20" t="s">
        <v>64</v>
      </c>
      <c r="C20" t="s">
        <v>41</v>
      </c>
      <c r="D20" t="s">
        <v>44</v>
      </c>
      <c r="E20" s="1">
        <v>46005</v>
      </c>
      <c r="F20">
        <v>6</v>
      </c>
    </row>
    <row r="21" spans="1:6" x14ac:dyDescent="0.35">
      <c r="A21">
        <v>20</v>
      </c>
      <c r="B21" t="s">
        <v>65</v>
      </c>
      <c r="C21" t="s">
        <v>46</v>
      </c>
      <c r="D21" t="s">
        <v>49</v>
      </c>
      <c r="E21" s="1">
        <v>45859</v>
      </c>
      <c r="F21">
        <v>8</v>
      </c>
    </row>
    <row r="22" spans="1:6" x14ac:dyDescent="0.35">
      <c r="A22">
        <v>21</v>
      </c>
      <c r="B22" t="s">
        <v>66</v>
      </c>
      <c r="C22" t="s">
        <v>41</v>
      </c>
      <c r="D22" t="s">
        <v>44</v>
      </c>
      <c r="E22" s="1">
        <v>45721</v>
      </c>
      <c r="F22">
        <v>3</v>
      </c>
    </row>
    <row r="23" spans="1:6" x14ac:dyDescent="0.35">
      <c r="A23">
        <v>22</v>
      </c>
      <c r="B23" t="s">
        <v>67</v>
      </c>
      <c r="C23" t="s">
        <v>46</v>
      </c>
      <c r="D23" t="s">
        <v>44</v>
      </c>
      <c r="E23" s="1">
        <v>45877</v>
      </c>
      <c r="F23">
        <v>2</v>
      </c>
    </row>
    <row r="24" spans="1:6" x14ac:dyDescent="0.35">
      <c r="A24">
        <v>23</v>
      </c>
      <c r="B24" t="s">
        <v>68</v>
      </c>
      <c r="C24" t="s">
        <v>41</v>
      </c>
      <c r="D24" t="s">
        <v>44</v>
      </c>
      <c r="E24" s="1">
        <v>45771</v>
      </c>
      <c r="F24">
        <v>3</v>
      </c>
    </row>
    <row r="25" spans="1:6" x14ac:dyDescent="0.35">
      <c r="A25">
        <v>24</v>
      </c>
      <c r="B25" t="s">
        <v>69</v>
      </c>
      <c r="C25" t="s">
        <v>46</v>
      </c>
      <c r="D25" t="s">
        <v>42</v>
      </c>
      <c r="E25" s="1">
        <v>45794</v>
      </c>
      <c r="F25">
        <v>1</v>
      </c>
    </row>
    <row r="26" spans="1:6" x14ac:dyDescent="0.35">
      <c r="A26">
        <v>25</v>
      </c>
      <c r="B26" t="s">
        <v>70</v>
      </c>
      <c r="C26" t="s">
        <v>41</v>
      </c>
      <c r="D26" t="s">
        <v>42</v>
      </c>
      <c r="E26" s="1">
        <v>45934</v>
      </c>
      <c r="F26">
        <v>2</v>
      </c>
    </row>
    <row r="27" spans="1:6" x14ac:dyDescent="0.35">
      <c r="A27">
        <v>26</v>
      </c>
      <c r="B27" t="s">
        <v>71</v>
      </c>
      <c r="C27" t="s">
        <v>46</v>
      </c>
      <c r="D27" t="s">
        <v>44</v>
      </c>
      <c r="E27" s="1">
        <v>45984</v>
      </c>
      <c r="F27">
        <v>1</v>
      </c>
    </row>
    <row r="28" spans="1:6" x14ac:dyDescent="0.35">
      <c r="A28">
        <v>27</v>
      </c>
      <c r="B28" t="s">
        <v>72</v>
      </c>
      <c r="C28" t="s">
        <v>41</v>
      </c>
      <c r="D28" t="s">
        <v>44</v>
      </c>
      <c r="E28" s="1">
        <v>45901</v>
      </c>
      <c r="F28">
        <v>3</v>
      </c>
    </row>
    <row r="29" spans="1:6" x14ac:dyDescent="0.35">
      <c r="A29">
        <v>28</v>
      </c>
      <c r="B29" t="s">
        <v>73</v>
      </c>
      <c r="C29" t="s">
        <v>46</v>
      </c>
      <c r="D29" t="s">
        <v>44</v>
      </c>
      <c r="E29" s="1">
        <v>45756</v>
      </c>
      <c r="F29">
        <v>5</v>
      </c>
    </row>
    <row r="30" spans="1:6" x14ac:dyDescent="0.35">
      <c r="A30">
        <v>29</v>
      </c>
      <c r="B30" t="s">
        <v>74</v>
      </c>
      <c r="C30" t="s">
        <v>41</v>
      </c>
      <c r="D30" t="s">
        <v>49</v>
      </c>
      <c r="E30" s="1">
        <v>45872</v>
      </c>
      <c r="F30">
        <v>4</v>
      </c>
    </row>
    <row r="31" spans="1:6" x14ac:dyDescent="0.35">
      <c r="A31">
        <v>30</v>
      </c>
      <c r="B31" t="s">
        <v>75</v>
      </c>
      <c r="C31" t="s">
        <v>46</v>
      </c>
      <c r="D31" t="s">
        <v>44</v>
      </c>
      <c r="E31" s="1">
        <v>45850</v>
      </c>
      <c r="F31">
        <v>6</v>
      </c>
    </row>
    <row r="32" spans="1:6" x14ac:dyDescent="0.35">
      <c r="A32">
        <v>31</v>
      </c>
      <c r="B32" t="s">
        <v>76</v>
      </c>
      <c r="C32" t="s">
        <v>41</v>
      </c>
      <c r="D32" t="s">
        <v>44</v>
      </c>
      <c r="E32" s="1">
        <v>45982</v>
      </c>
      <c r="F32">
        <v>8</v>
      </c>
    </row>
    <row r="33" spans="1:6" x14ac:dyDescent="0.35">
      <c r="A33">
        <v>32</v>
      </c>
      <c r="B33" t="s">
        <v>77</v>
      </c>
      <c r="C33" t="s">
        <v>46</v>
      </c>
      <c r="D33" t="s">
        <v>44</v>
      </c>
      <c r="E33" s="1">
        <v>45959</v>
      </c>
      <c r="F33">
        <v>5</v>
      </c>
    </row>
    <row r="34" spans="1:6" x14ac:dyDescent="0.35">
      <c r="A34">
        <v>33</v>
      </c>
      <c r="B34" t="s">
        <v>78</v>
      </c>
      <c r="C34" t="s">
        <v>41</v>
      </c>
      <c r="D34" t="s">
        <v>49</v>
      </c>
      <c r="E34" s="1">
        <v>45862</v>
      </c>
      <c r="F34">
        <v>7</v>
      </c>
    </row>
    <row r="35" spans="1:6" x14ac:dyDescent="0.35">
      <c r="A35">
        <v>34</v>
      </c>
      <c r="B35" t="s">
        <v>79</v>
      </c>
      <c r="C35" t="s">
        <v>46</v>
      </c>
      <c r="D35" t="s">
        <v>44</v>
      </c>
      <c r="E35" s="1">
        <v>45814</v>
      </c>
      <c r="F35">
        <v>9</v>
      </c>
    </row>
    <row r="36" spans="1:6" x14ac:dyDescent="0.35">
      <c r="A36">
        <v>35</v>
      </c>
      <c r="B36" t="s">
        <v>80</v>
      </c>
      <c r="C36" t="s">
        <v>41</v>
      </c>
      <c r="D36" t="s">
        <v>44</v>
      </c>
      <c r="E36" s="1">
        <v>45795</v>
      </c>
      <c r="F36">
        <v>10</v>
      </c>
    </row>
    <row r="37" spans="1:6" x14ac:dyDescent="0.35">
      <c r="A37">
        <v>36</v>
      </c>
      <c r="B37" t="s">
        <v>81</v>
      </c>
      <c r="C37" t="s">
        <v>46</v>
      </c>
      <c r="D37" t="s">
        <v>44</v>
      </c>
      <c r="E37" s="1">
        <v>45864</v>
      </c>
      <c r="F37">
        <v>6</v>
      </c>
    </row>
    <row r="38" spans="1:6" x14ac:dyDescent="0.35">
      <c r="A38">
        <v>37</v>
      </c>
      <c r="B38" t="s">
        <v>82</v>
      </c>
      <c r="C38" t="s">
        <v>41</v>
      </c>
      <c r="D38" t="s">
        <v>49</v>
      </c>
      <c r="E38" s="1">
        <v>45937</v>
      </c>
      <c r="F38">
        <v>2</v>
      </c>
    </row>
    <row r="39" spans="1:6" x14ac:dyDescent="0.35">
      <c r="A39">
        <v>38</v>
      </c>
      <c r="B39" t="s">
        <v>83</v>
      </c>
      <c r="C39" t="s">
        <v>46</v>
      </c>
      <c r="D39" t="s">
        <v>49</v>
      </c>
      <c r="E39" s="1">
        <v>45680</v>
      </c>
      <c r="F39">
        <v>7</v>
      </c>
    </row>
    <row r="40" spans="1:6" x14ac:dyDescent="0.35">
      <c r="A40">
        <v>39</v>
      </c>
      <c r="B40" t="s">
        <v>84</v>
      </c>
      <c r="C40" t="s">
        <v>41</v>
      </c>
      <c r="D40" t="s">
        <v>44</v>
      </c>
      <c r="E40" s="1">
        <v>45733</v>
      </c>
      <c r="F40">
        <v>1</v>
      </c>
    </row>
    <row r="41" spans="1:6" x14ac:dyDescent="0.35">
      <c r="A41">
        <v>40</v>
      </c>
      <c r="B41" t="s">
        <v>85</v>
      </c>
      <c r="C41" t="s">
        <v>46</v>
      </c>
      <c r="D41" t="s">
        <v>49</v>
      </c>
      <c r="E41" s="1">
        <v>45746</v>
      </c>
      <c r="F41">
        <v>9</v>
      </c>
    </row>
    <row r="42" spans="1:6" x14ac:dyDescent="0.35">
      <c r="A42">
        <v>41</v>
      </c>
      <c r="B42" t="s">
        <v>86</v>
      </c>
      <c r="C42" t="s">
        <v>41</v>
      </c>
      <c r="D42" t="s">
        <v>44</v>
      </c>
      <c r="E42" s="1">
        <v>45927</v>
      </c>
      <c r="F42">
        <v>2</v>
      </c>
    </row>
    <row r="43" spans="1:6" x14ac:dyDescent="0.35">
      <c r="A43">
        <v>42</v>
      </c>
      <c r="B43" t="s">
        <v>87</v>
      </c>
      <c r="C43" t="s">
        <v>46</v>
      </c>
      <c r="D43" t="s">
        <v>42</v>
      </c>
      <c r="E43" s="1">
        <v>45697</v>
      </c>
      <c r="F43">
        <v>8</v>
      </c>
    </row>
    <row r="44" spans="1:6" x14ac:dyDescent="0.35">
      <c r="A44">
        <v>43</v>
      </c>
      <c r="B44" t="s">
        <v>88</v>
      </c>
      <c r="C44" t="s">
        <v>41</v>
      </c>
      <c r="D44" t="s">
        <v>44</v>
      </c>
      <c r="E44" s="1">
        <v>45970</v>
      </c>
      <c r="F44">
        <v>10</v>
      </c>
    </row>
    <row r="45" spans="1:6" x14ac:dyDescent="0.35">
      <c r="A45">
        <v>44</v>
      </c>
      <c r="B45" t="s">
        <v>89</v>
      </c>
      <c r="C45" t="s">
        <v>46</v>
      </c>
      <c r="D45" t="s">
        <v>44</v>
      </c>
      <c r="E45" s="1">
        <v>45708</v>
      </c>
      <c r="F45">
        <v>4</v>
      </c>
    </row>
    <row r="46" spans="1:6" x14ac:dyDescent="0.35">
      <c r="A46">
        <v>45</v>
      </c>
      <c r="B46" t="s">
        <v>90</v>
      </c>
      <c r="C46" t="s">
        <v>41</v>
      </c>
      <c r="D46" t="s">
        <v>42</v>
      </c>
      <c r="E46" s="1">
        <v>45920</v>
      </c>
      <c r="F46">
        <v>6</v>
      </c>
    </row>
    <row r="47" spans="1:6" x14ac:dyDescent="0.35">
      <c r="A47">
        <v>46</v>
      </c>
      <c r="B47" t="s">
        <v>91</v>
      </c>
      <c r="C47" t="s">
        <v>46</v>
      </c>
      <c r="D47" t="s">
        <v>44</v>
      </c>
      <c r="E47" s="1">
        <v>45667</v>
      </c>
      <c r="F47">
        <v>3</v>
      </c>
    </row>
    <row r="48" spans="1:6" x14ac:dyDescent="0.35">
      <c r="A48">
        <v>47</v>
      </c>
      <c r="B48" t="s">
        <v>92</v>
      </c>
      <c r="C48" t="s">
        <v>41</v>
      </c>
      <c r="D48" t="s">
        <v>44</v>
      </c>
      <c r="E48" s="1">
        <v>45989</v>
      </c>
      <c r="F48">
        <v>5</v>
      </c>
    </row>
    <row r="49" spans="1:6" x14ac:dyDescent="0.35">
      <c r="A49">
        <v>48</v>
      </c>
      <c r="B49" t="s">
        <v>93</v>
      </c>
      <c r="C49" t="s">
        <v>46</v>
      </c>
      <c r="D49" t="s">
        <v>49</v>
      </c>
      <c r="E49" s="1">
        <v>45952</v>
      </c>
      <c r="F49">
        <v>9</v>
      </c>
    </row>
    <row r="50" spans="1:6" x14ac:dyDescent="0.35">
      <c r="A50">
        <v>49</v>
      </c>
      <c r="B50" t="s">
        <v>94</v>
      </c>
      <c r="C50" t="s">
        <v>41</v>
      </c>
      <c r="D50" t="s">
        <v>44</v>
      </c>
      <c r="E50" s="1">
        <v>45691</v>
      </c>
      <c r="F50">
        <v>2</v>
      </c>
    </row>
    <row r="51" spans="1:6" x14ac:dyDescent="0.35">
      <c r="A51">
        <v>50</v>
      </c>
      <c r="B51" t="s">
        <v>95</v>
      </c>
      <c r="C51" t="s">
        <v>46</v>
      </c>
      <c r="D51" t="s">
        <v>49</v>
      </c>
      <c r="E51" s="1">
        <v>45854</v>
      </c>
      <c r="F51">
        <v>1</v>
      </c>
    </row>
    <row r="52" spans="1:6" x14ac:dyDescent="0.35">
      <c r="A52">
        <v>51</v>
      </c>
      <c r="B52" t="s">
        <v>96</v>
      </c>
      <c r="C52" t="s">
        <v>41</v>
      </c>
      <c r="D52" t="s">
        <v>44</v>
      </c>
      <c r="E52" s="1">
        <v>45687</v>
      </c>
      <c r="F52">
        <v>9</v>
      </c>
    </row>
    <row r="53" spans="1:6" x14ac:dyDescent="0.35">
      <c r="A53">
        <v>52</v>
      </c>
      <c r="B53" t="s">
        <v>97</v>
      </c>
      <c r="C53" t="s">
        <v>46</v>
      </c>
      <c r="D53" t="s">
        <v>44</v>
      </c>
      <c r="E53" s="1">
        <v>45781</v>
      </c>
      <c r="F53">
        <v>8</v>
      </c>
    </row>
    <row r="54" spans="1:6" x14ac:dyDescent="0.35">
      <c r="A54">
        <v>53</v>
      </c>
      <c r="B54" t="s">
        <v>98</v>
      </c>
      <c r="C54" t="s">
        <v>41</v>
      </c>
      <c r="D54" t="s">
        <v>49</v>
      </c>
      <c r="E54" s="1">
        <v>45880</v>
      </c>
      <c r="F54">
        <v>7</v>
      </c>
    </row>
    <row r="55" spans="1:6" x14ac:dyDescent="0.35">
      <c r="A55">
        <v>54</v>
      </c>
      <c r="B55" t="s">
        <v>99</v>
      </c>
      <c r="C55" t="s">
        <v>46</v>
      </c>
      <c r="D55" t="s">
        <v>44</v>
      </c>
      <c r="E55" s="1">
        <v>45930</v>
      </c>
      <c r="F55">
        <v>6</v>
      </c>
    </row>
    <row r="56" spans="1:6" x14ac:dyDescent="0.35">
      <c r="A56">
        <v>55</v>
      </c>
      <c r="B56" t="s">
        <v>100</v>
      </c>
      <c r="C56" t="s">
        <v>41</v>
      </c>
      <c r="D56" t="s">
        <v>44</v>
      </c>
      <c r="E56" s="1">
        <v>45718</v>
      </c>
      <c r="F56">
        <v>5</v>
      </c>
    </row>
    <row r="57" spans="1:6" x14ac:dyDescent="0.35">
      <c r="A57">
        <v>56</v>
      </c>
      <c r="B57" t="s">
        <v>101</v>
      </c>
      <c r="C57" t="s">
        <v>46</v>
      </c>
      <c r="D57" t="s">
        <v>42</v>
      </c>
      <c r="E57" s="1">
        <v>45833</v>
      </c>
      <c r="F57">
        <v>1</v>
      </c>
    </row>
    <row r="58" spans="1:6" x14ac:dyDescent="0.35">
      <c r="A58">
        <v>57</v>
      </c>
      <c r="B58" t="s">
        <v>102</v>
      </c>
      <c r="C58" t="s">
        <v>41</v>
      </c>
      <c r="D58" t="s">
        <v>44</v>
      </c>
      <c r="E58" s="1">
        <v>45757</v>
      </c>
      <c r="F58">
        <v>4</v>
      </c>
    </row>
    <row r="59" spans="1:6" x14ac:dyDescent="0.35">
      <c r="A59">
        <v>58</v>
      </c>
      <c r="B59" t="s">
        <v>103</v>
      </c>
      <c r="C59" t="s">
        <v>46</v>
      </c>
      <c r="D59" t="s">
        <v>44</v>
      </c>
      <c r="E59" s="1">
        <v>45908</v>
      </c>
      <c r="F59">
        <v>2</v>
      </c>
    </row>
    <row r="60" spans="1:6" x14ac:dyDescent="0.35">
      <c r="A60">
        <v>59</v>
      </c>
      <c r="B60" t="s">
        <v>104</v>
      </c>
      <c r="C60" t="s">
        <v>41</v>
      </c>
      <c r="D60" t="s">
        <v>42</v>
      </c>
      <c r="E60" s="1">
        <v>45962</v>
      </c>
      <c r="F60">
        <v>5</v>
      </c>
    </row>
    <row r="61" spans="1:6" x14ac:dyDescent="0.35">
      <c r="A61">
        <v>60</v>
      </c>
      <c r="B61" t="s">
        <v>105</v>
      </c>
      <c r="C61" t="s">
        <v>46</v>
      </c>
      <c r="D61" t="s">
        <v>49</v>
      </c>
      <c r="E61" s="1">
        <v>45835</v>
      </c>
      <c r="F61">
        <v>6</v>
      </c>
    </row>
    <row r="62" spans="1:6" x14ac:dyDescent="0.35">
      <c r="A62">
        <v>61</v>
      </c>
      <c r="B62" t="s">
        <v>106</v>
      </c>
      <c r="C62" t="s">
        <v>41</v>
      </c>
      <c r="D62" t="s">
        <v>49</v>
      </c>
      <c r="E62" s="1">
        <v>45888</v>
      </c>
      <c r="F62">
        <v>7</v>
      </c>
    </row>
    <row r="63" spans="1:6" x14ac:dyDescent="0.35">
      <c r="A63">
        <v>62</v>
      </c>
      <c r="B63" t="s">
        <v>107</v>
      </c>
      <c r="C63" t="s">
        <v>46</v>
      </c>
      <c r="D63" t="s">
        <v>44</v>
      </c>
      <c r="E63" s="1">
        <v>45730</v>
      </c>
      <c r="F63">
        <v>3</v>
      </c>
    </row>
    <row r="64" spans="1:6" x14ac:dyDescent="0.35">
      <c r="A64">
        <v>63</v>
      </c>
      <c r="B64" t="s">
        <v>108</v>
      </c>
      <c r="C64" t="s">
        <v>41</v>
      </c>
      <c r="D64" t="s">
        <v>44</v>
      </c>
      <c r="E64" s="1">
        <v>45751</v>
      </c>
      <c r="F64">
        <v>1</v>
      </c>
    </row>
    <row r="65" spans="1:6" x14ac:dyDescent="0.35">
      <c r="A65">
        <v>64</v>
      </c>
      <c r="B65" t="s">
        <v>109</v>
      </c>
      <c r="C65" t="s">
        <v>46</v>
      </c>
      <c r="D65" t="s">
        <v>42</v>
      </c>
      <c r="E65" s="1">
        <v>45948</v>
      </c>
      <c r="F65">
        <v>8</v>
      </c>
    </row>
    <row r="66" spans="1:6" x14ac:dyDescent="0.35">
      <c r="A66">
        <v>65</v>
      </c>
      <c r="B66" t="s">
        <v>110</v>
      </c>
      <c r="C66" t="s">
        <v>41</v>
      </c>
      <c r="D66" t="s">
        <v>44</v>
      </c>
      <c r="E66" s="1">
        <v>45670</v>
      </c>
      <c r="F66">
        <v>4</v>
      </c>
    </row>
    <row r="67" spans="1:6" x14ac:dyDescent="0.35">
      <c r="A67">
        <v>66</v>
      </c>
      <c r="B67" t="s">
        <v>111</v>
      </c>
      <c r="C67" t="s">
        <v>46</v>
      </c>
      <c r="D67" t="s">
        <v>44</v>
      </c>
      <c r="E67" s="1">
        <v>45715</v>
      </c>
      <c r="F67">
        <v>3</v>
      </c>
    </row>
    <row r="68" spans="1:6" x14ac:dyDescent="0.35">
      <c r="A68">
        <v>67</v>
      </c>
      <c r="B68" t="s">
        <v>112</v>
      </c>
      <c r="C68" t="s">
        <v>41</v>
      </c>
      <c r="D68" t="s">
        <v>49</v>
      </c>
      <c r="E68" s="1">
        <v>45993</v>
      </c>
      <c r="F68">
        <v>10</v>
      </c>
    </row>
    <row r="69" spans="1:6" x14ac:dyDescent="0.35">
      <c r="A69">
        <v>68</v>
      </c>
      <c r="B69" t="s">
        <v>113</v>
      </c>
      <c r="C69" t="s">
        <v>46</v>
      </c>
      <c r="D69" t="s">
        <v>44</v>
      </c>
      <c r="E69" s="1">
        <v>45922</v>
      </c>
      <c r="F69">
        <v>9</v>
      </c>
    </row>
    <row r="70" spans="1:6" x14ac:dyDescent="0.35">
      <c r="A70">
        <v>69</v>
      </c>
      <c r="B70" t="s">
        <v>114</v>
      </c>
      <c r="C70" t="s">
        <v>41</v>
      </c>
      <c r="D70" t="s">
        <v>44</v>
      </c>
      <c r="E70" s="1">
        <v>45787</v>
      </c>
      <c r="F70">
        <v>2</v>
      </c>
    </row>
    <row r="71" spans="1:6" x14ac:dyDescent="0.35">
      <c r="A71">
        <v>70</v>
      </c>
      <c r="B71" t="s">
        <v>115</v>
      </c>
      <c r="C71" t="s">
        <v>46</v>
      </c>
      <c r="D71" t="s">
        <v>49</v>
      </c>
      <c r="E71" s="1">
        <v>45678</v>
      </c>
      <c r="F71">
        <v>7</v>
      </c>
    </row>
    <row r="72" spans="1:6" x14ac:dyDescent="0.35">
      <c r="A72">
        <v>71</v>
      </c>
      <c r="B72" t="s">
        <v>116</v>
      </c>
      <c r="C72" t="s">
        <v>41</v>
      </c>
      <c r="D72" t="s">
        <v>44</v>
      </c>
      <c r="E72" s="1">
        <v>45704</v>
      </c>
      <c r="F72">
        <v>6</v>
      </c>
    </row>
    <row r="73" spans="1:6" x14ac:dyDescent="0.35">
      <c r="A73">
        <v>72</v>
      </c>
      <c r="B73" t="s">
        <v>117</v>
      </c>
      <c r="C73" t="s">
        <v>46</v>
      </c>
      <c r="D73" t="s">
        <v>44</v>
      </c>
      <c r="E73" s="1">
        <v>45867</v>
      </c>
      <c r="F73">
        <v>8</v>
      </c>
    </row>
    <row r="74" spans="1:6" x14ac:dyDescent="0.35">
      <c r="A74">
        <v>73</v>
      </c>
      <c r="B74" t="s">
        <v>118</v>
      </c>
      <c r="C74" t="s">
        <v>41</v>
      </c>
      <c r="D74" t="s">
        <v>42</v>
      </c>
      <c r="E74" s="1">
        <v>45823</v>
      </c>
      <c r="F74">
        <v>4</v>
      </c>
    </row>
    <row r="75" spans="1:6" x14ac:dyDescent="0.35">
      <c r="A75">
        <v>74</v>
      </c>
      <c r="B75" t="s">
        <v>91</v>
      </c>
      <c r="C75" t="s">
        <v>46</v>
      </c>
      <c r="D75" t="s">
        <v>44</v>
      </c>
      <c r="E75" s="1">
        <v>45722</v>
      </c>
      <c r="F75">
        <v>5</v>
      </c>
    </row>
    <row r="76" spans="1:6" x14ac:dyDescent="0.35">
      <c r="A76">
        <v>75</v>
      </c>
      <c r="B76" t="s">
        <v>119</v>
      </c>
      <c r="C76" t="s">
        <v>41</v>
      </c>
      <c r="D76" t="s">
        <v>44</v>
      </c>
      <c r="E76" s="1">
        <v>45701</v>
      </c>
      <c r="F76">
        <v>1</v>
      </c>
    </row>
    <row r="77" spans="1:6" x14ac:dyDescent="0.35">
      <c r="A77">
        <v>76</v>
      </c>
      <c r="B77" t="s">
        <v>120</v>
      </c>
      <c r="C77" t="s">
        <v>46</v>
      </c>
      <c r="D77" t="s">
        <v>49</v>
      </c>
      <c r="E77" s="1">
        <v>45775</v>
      </c>
      <c r="F77">
        <v>3</v>
      </c>
    </row>
    <row r="78" spans="1:6" x14ac:dyDescent="0.35">
      <c r="A78">
        <v>77</v>
      </c>
      <c r="B78" t="s">
        <v>121</v>
      </c>
      <c r="C78" t="s">
        <v>41</v>
      </c>
      <c r="D78" t="s">
        <v>44</v>
      </c>
      <c r="E78" s="1">
        <v>45874</v>
      </c>
      <c r="F78">
        <v>9</v>
      </c>
    </row>
    <row r="79" spans="1:6" x14ac:dyDescent="0.35">
      <c r="A79">
        <v>78</v>
      </c>
      <c r="B79" t="s">
        <v>122</v>
      </c>
      <c r="C79" t="s">
        <v>46</v>
      </c>
      <c r="D79" t="s">
        <v>44</v>
      </c>
      <c r="E79" s="1">
        <v>45925</v>
      </c>
      <c r="F79">
        <v>2</v>
      </c>
    </row>
    <row r="80" spans="1:6" x14ac:dyDescent="0.35">
      <c r="A80">
        <v>79</v>
      </c>
      <c r="B80" t="s">
        <v>123</v>
      </c>
      <c r="C80" t="s">
        <v>41</v>
      </c>
      <c r="D80" t="s">
        <v>42</v>
      </c>
      <c r="E80" s="1">
        <v>45951</v>
      </c>
      <c r="F80">
        <v>7</v>
      </c>
    </row>
    <row r="81" spans="1:6" x14ac:dyDescent="0.35">
      <c r="A81">
        <v>80</v>
      </c>
      <c r="B81" t="s">
        <v>124</v>
      </c>
      <c r="C81" t="s">
        <v>46</v>
      </c>
      <c r="D81" t="s">
        <v>44</v>
      </c>
      <c r="E81" s="1">
        <v>45688</v>
      </c>
      <c r="F81">
        <v>6</v>
      </c>
    </row>
    <row r="82" spans="1:6" x14ac:dyDescent="0.35">
      <c r="A82">
        <v>81</v>
      </c>
      <c r="B82" t="s">
        <v>125</v>
      </c>
      <c r="C82" t="s">
        <v>41</v>
      </c>
      <c r="D82" t="s">
        <v>44</v>
      </c>
      <c r="E82" s="1">
        <v>45798</v>
      </c>
      <c r="F82">
        <v>5</v>
      </c>
    </row>
    <row r="83" spans="1:6" x14ac:dyDescent="0.35">
      <c r="A83">
        <v>82</v>
      </c>
      <c r="B83" t="s">
        <v>126</v>
      </c>
      <c r="C83" t="s">
        <v>46</v>
      </c>
      <c r="D83" t="s">
        <v>49</v>
      </c>
      <c r="E83" s="1">
        <v>45997</v>
      </c>
      <c r="F83">
        <v>8</v>
      </c>
    </row>
    <row r="84" spans="1:6" x14ac:dyDescent="0.35">
      <c r="A84">
        <v>83</v>
      </c>
      <c r="B84" t="s">
        <v>127</v>
      </c>
      <c r="C84" t="s">
        <v>41</v>
      </c>
      <c r="D84" t="s">
        <v>44</v>
      </c>
      <c r="E84" s="1">
        <v>45742</v>
      </c>
      <c r="F84">
        <v>1</v>
      </c>
    </row>
    <row r="85" spans="1:6" x14ac:dyDescent="0.35">
      <c r="A85">
        <v>84</v>
      </c>
      <c r="B85" t="s">
        <v>128</v>
      </c>
      <c r="C85" t="s">
        <v>46</v>
      </c>
      <c r="D85" t="s">
        <v>44</v>
      </c>
      <c r="E85" s="1">
        <v>45980</v>
      </c>
      <c r="F85">
        <v>4</v>
      </c>
    </row>
    <row r="86" spans="1:6" x14ac:dyDescent="0.35">
      <c r="A86">
        <v>85</v>
      </c>
      <c r="B86" t="s">
        <v>129</v>
      </c>
      <c r="C86" t="s">
        <v>41</v>
      </c>
      <c r="D86" t="s">
        <v>49</v>
      </c>
      <c r="E86" s="1">
        <v>45712</v>
      </c>
      <c r="F86">
        <v>3</v>
      </c>
    </row>
    <row r="87" spans="1:6" x14ac:dyDescent="0.35">
      <c r="A87">
        <v>86</v>
      </c>
      <c r="B87" t="s">
        <v>130</v>
      </c>
      <c r="C87" t="s">
        <v>46</v>
      </c>
      <c r="D87" t="s">
        <v>44</v>
      </c>
      <c r="E87" s="1">
        <v>45817</v>
      </c>
      <c r="F87">
        <v>9</v>
      </c>
    </row>
    <row r="88" spans="1:6" x14ac:dyDescent="0.35">
      <c r="A88">
        <v>87</v>
      </c>
      <c r="B88" t="s">
        <v>131</v>
      </c>
      <c r="C88" t="s">
        <v>41</v>
      </c>
      <c r="D88" t="s">
        <v>44</v>
      </c>
      <c r="E88" s="1">
        <v>45748</v>
      </c>
      <c r="F88">
        <v>2</v>
      </c>
    </row>
    <row r="89" spans="1:6" x14ac:dyDescent="0.35">
      <c r="A89">
        <v>88</v>
      </c>
      <c r="B89" t="s">
        <v>71</v>
      </c>
      <c r="C89" t="s">
        <v>46</v>
      </c>
      <c r="D89" t="s">
        <v>49</v>
      </c>
      <c r="E89" s="1">
        <v>45903</v>
      </c>
      <c r="F89">
        <v>7</v>
      </c>
    </row>
    <row r="90" spans="1:6" x14ac:dyDescent="0.35">
      <c r="A90">
        <v>89</v>
      </c>
      <c r="B90" t="s">
        <v>132</v>
      </c>
      <c r="C90" t="s">
        <v>41</v>
      </c>
      <c r="D90" t="s">
        <v>42</v>
      </c>
      <c r="E90" s="1">
        <v>45839</v>
      </c>
      <c r="F90">
        <v>10</v>
      </c>
    </row>
    <row r="91" spans="1:6" x14ac:dyDescent="0.35">
      <c r="A91">
        <v>90</v>
      </c>
      <c r="B91" t="s">
        <v>133</v>
      </c>
      <c r="C91" t="s">
        <v>46</v>
      </c>
      <c r="D91" t="s">
        <v>44</v>
      </c>
      <c r="E91" s="1">
        <v>45956</v>
      </c>
      <c r="F91">
        <v>6</v>
      </c>
    </row>
    <row r="92" spans="1:6" x14ac:dyDescent="0.35">
      <c r="A92">
        <v>91</v>
      </c>
      <c r="B92" t="s">
        <v>134</v>
      </c>
      <c r="C92" t="s">
        <v>41</v>
      </c>
      <c r="D92" t="s">
        <v>44</v>
      </c>
      <c r="E92" s="1">
        <v>45770</v>
      </c>
      <c r="F92">
        <v>5</v>
      </c>
    </row>
    <row r="93" spans="1:6" x14ac:dyDescent="0.35">
      <c r="A93">
        <v>92</v>
      </c>
      <c r="B93" t="s">
        <v>135</v>
      </c>
      <c r="C93" t="s">
        <v>46</v>
      </c>
      <c r="D93" t="s">
        <v>44</v>
      </c>
      <c r="E93" s="1">
        <v>45804</v>
      </c>
      <c r="F93">
        <v>1</v>
      </c>
    </row>
    <row r="94" spans="1:6" x14ac:dyDescent="0.35">
      <c r="A94">
        <v>93</v>
      </c>
      <c r="B94" t="s">
        <v>136</v>
      </c>
      <c r="C94" t="s">
        <v>41</v>
      </c>
      <c r="D94" t="s">
        <v>44</v>
      </c>
      <c r="E94" s="1">
        <v>45675</v>
      </c>
      <c r="F94">
        <v>9</v>
      </c>
    </row>
    <row r="95" spans="1:6" x14ac:dyDescent="0.35">
      <c r="A95">
        <v>94</v>
      </c>
      <c r="B95" t="s">
        <v>137</v>
      </c>
      <c r="C95" t="s">
        <v>46</v>
      </c>
      <c r="D95" t="s">
        <v>49</v>
      </c>
      <c r="E95" s="1">
        <v>45694</v>
      </c>
      <c r="F95">
        <v>8</v>
      </c>
    </row>
    <row r="96" spans="1:6" x14ac:dyDescent="0.35">
      <c r="A96">
        <v>95</v>
      </c>
      <c r="B96" t="s">
        <v>138</v>
      </c>
      <c r="C96" t="s">
        <v>41</v>
      </c>
      <c r="D96" t="s">
        <v>42</v>
      </c>
      <c r="E96" s="1">
        <v>45878</v>
      </c>
      <c r="F96">
        <v>4</v>
      </c>
    </row>
    <row r="97" spans="1:6" x14ac:dyDescent="0.35">
      <c r="A97">
        <v>96</v>
      </c>
      <c r="B97" t="s">
        <v>139</v>
      </c>
      <c r="C97" t="s">
        <v>46</v>
      </c>
      <c r="D97" t="s">
        <v>44</v>
      </c>
      <c r="E97" s="1">
        <v>45918</v>
      </c>
      <c r="F97">
        <v>3</v>
      </c>
    </row>
    <row r="98" spans="1:6" x14ac:dyDescent="0.35">
      <c r="A98">
        <v>97</v>
      </c>
      <c r="B98" t="s">
        <v>140</v>
      </c>
      <c r="C98" t="s">
        <v>41</v>
      </c>
      <c r="D98" t="s">
        <v>44</v>
      </c>
      <c r="E98" s="1">
        <v>45987</v>
      </c>
      <c r="F98">
        <v>7</v>
      </c>
    </row>
    <row r="99" spans="1:6" x14ac:dyDescent="0.35">
      <c r="A99">
        <v>98</v>
      </c>
      <c r="B99" t="s">
        <v>141</v>
      </c>
      <c r="C99" t="s">
        <v>46</v>
      </c>
      <c r="D99" t="s">
        <v>42</v>
      </c>
      <c r="E99" s="1">
        <v>45813</v>
      </c>
      <c r="F99">
        <v>2</v>
      </c>
    </row>
    <row r="100" spans="1:6" x14ac:dyDescent="0.35">
      <c r="A100">
        <v>99</v>
      </c>
      <c r="B100" t="s">
        <v>64</v>
      </c>
      <c r="C100" t="s">
        <v>41</v>
      </c>
      <c r="D100" t="s">
        <v>44</v>
      </c>
      <c r="E100" s="1">
        <v>45725</v>
      </c>
      <c r="F100">
        <v>6</v>
      </c>
    </row>
    <row r="101" spans="1:6" x14ac:dyDescent="0.35">
      <c r="A101">
        <v>100</v>
      </c>
      <c r="B101" t="s">
        <v>142</v>
      </c>
      <c r="C101" t="s">
        <v>46</v>
      </c>
      <c r="D101" t="s">
        <v>49</v>
      </c>
      <c r="E101" s="1">
        <v>46003</v>
      </c>
      <c r="F101">
        <v>10</v>
      </c>
    </row>
    <row r="102" spans="1:6" x14ac:dyDescent="0.35">
      <c r="A102">
        <v>101</v>
      </c>
      <c r="B102" t="s">
        <v>143</v>
      </c>
      <c r="C102" t="s">
        <v>41</v>
      </c>
      <c r="D102" t="s">
        <v>44</v>
      </c>
      <c r="E102" s="1">
        <v>45690</v>
      </c>
      <c r="F102">
        <v>1</v>
      </c>
    </row>
    <row r="103" spans="1:6" x14ac:dyDescent="0.35">
      <c r="A103">
        <v>102</v>
      </c>
      <c r="B103" t="s">
        <v>144</v>
      </c>
      <c r="C103" t="s">
        <v>46</v>
      </c>
      <c r="D103" t="s">
        <v>49</v>
      </c>
      <c r="E103" s="1">
        <v>45728</v>
      </c>
      <c r="F103">
        <v>2</v>
      </c>
    </row>
    <row r="104" spans="1:6" x14ac:dyDescent="0.35">
      <c r="A104">
        <v>103</v>
      </c>
      <c r="B104" t="s">
        <v>145</v>
      </c>
      <c r="C104" t="s">
        <v>41</v>
      </c>
      <c r="D104" t="s">
        <v>44</v>
      </c>
      <c r="E104" s="1">
        <v>45906</v>
      </c>
      <c r="F104">
        <v>8</v>
      </c>
    </row>
    <row r="105" spans="1:6" x14ac:dyDescent="0.35">
      <c r="A105">
        <v>104</v>
      </c>
      <c r="B105" t="s">
        <v>146</v>
      </c>
      <c r="C105" t="s">
        <v>46</v>
      </c>
      <c r="D105" t="s">
        <v>44</v>
      </c>
      <c r="E105" s="1">
        <v>45941</v>
      </c>
      <c r="F105">
        <v>5</v>
      </c>
    </row>
    <row r="106" spans="1:6" x14ac:dyDescent="0.35">
      <c r="A106">
        <v>105</v>
      </c>
      <c r="B106" t="s">
        <v>147</v>
      </c>
      <c r="C106" t="s">
        <v>41</v>
      </c>
      <c r="D106" t="s">
        <v>49</v>
      </c>
      <c r="E106" s="1">
        <v>45856</v>
      </c>
      <c r="F106">
        <v>6</v>
      </c>
    </row>
    <row r="107" spans="1:6" x14ac:dyDescent="0.35">
      <c r="A107">
        <v>106</v>
      </c>
      <c r="B107" t="s">
        <v>148</v>
      </c>
      <c r="C107" t="s">
        <v>46</v>
      </c>
      <c r="D107" t="s">
        <v>44</v>
      </c>
      <c r="E107" s="1">
        <v>45783</v>
      </c>
      <c r="F107">
        <v>3</v>
      </c>
    </row>
    <row r="108" spans="1:6" x14ac:dyDescent="0.35">
      <c r="A108">
        <v>107</v>
      </c>
      <c r="B108" t="s">
        <v>149</v>
      </c>
      <c r="C108" t="s">
        <v>41</v>
      </c>
      <c r="D108" t="s">
        <v>42</v>
      </c>
      <c r="E108" s="1">
        <v>45762</v>
      </c>
      <c r="F108">
        <v>9</v>
      </c>
    </row>
    <row r="109" spans="1:6" x14ac:dyDescent="0.35">
      <c r="A109">
        <v>108</v>
      </c>
      <c r="B109" t="s">
        <v>150</v>
      </c>
      <c r="C109" t="s">
        <v>46</v>
      </c>
      <c r="D109" t="s">
        <v>44</v>
      </c>
      <c r="E109" s="1">
        <v>45683</v>
      </c>
      <c r="F109">
        <v>7</v>
      </c>
    </row>
    <row r="110" spans="1:6" x14ac:dyDescent="0.35">
      <c r="A110">
        <v>109</v>
      </c>
      <c r="B110" t="s">
        <v>151</v>
      </c>
      <c r="C110" t="s">
        <v>41</v>
      </c>
      <c r="D110" t="s">
        <v>44</v>
      </c>
      <c r="E110" s="1">
        <v>45713</v>
      </c>
      <c r="F110">
        <v>4</v>
      </c>
    </row>
    <row r="111" spans="1:6" x14ac:dyDescent="0.35">
      <c r="A111">
        <v>110</v>
      </c>
      <c r="B111" t="s">
        <v>152</v>
      </c>
      <c r="C111" t="s">
        <v>46</v>
      </c>
      <c r="D111" t="s">
        <v>42</v>
      </c>
      <c r="E111" s="1">
        <v>45968</v>
      </c>
      <c r="F111">
        <v>8</v>
      </c>
    </row>
    <row r="112" spans="1:6" x14ac:dyDescent="0.35">
      <c r="A112">
        <v>111</v>
      </c>
      <c r="B112" t="s">
        <v>153</v>
      </c>
      <c r="C112" t="s">
        <v>41</v>
      </c>
      <c r="D112" t="s">
        <v>44</v>
      </c>
      <c r="E112" s="1">
        <v>45816</v>
      </c>
      <c r="F112">
        <v>2</v>
      </c>
    </row>
    <row r="113" spans="1:6" x14ac:dyDescent="0.35">
      <c r="A113">
        <v>112</v>
      </c>
      <c r="B113" t="s">
        <v>73</v>
      </c>
      <c r="C113" t="s">
        <v>46</v>
      </c>
      <c r="D113" t="s">
        <v>44</v>
      </c>
      <c r="E113" s="1">
        <v>45890</v>
      </c>
      <c r="F113">
        <v>1</v>
      </c>
    </row>
    <row r="114" spans="1:6" x14ac:dyDescent="0.35">
      <c r="A114">
        <v>113</v>
      </c>
      <c r="B114" t="s">
        <v>154</v>
      </c>
      <c r="C114" t="s">
        <v>41</v>
      </c>
      <c r="D114" t="s">
        <v>49</v>
      </c>
      <c r="E114" s="1">
        <v>45739</v>
      </c>
      <c r="F114">
        <v>5</v>
      </c>
    </row>
    <row r="115" spans="1:6" x14ac:dyDescent="0.35">
      <c r="A115">
        <v>114</v>
      </c>
      <c r="B115" t="s">
        <v>155</v>
      </c>
      <c r="C115" t="s">
        <v>46</v>
      </c>
      <c r="D115" t="s">
        <v>44</v>
      </c>
      <c r="E115" s="1">
        <v>45910</v>
      </c>
      <c r="F115">
        <v>6</v>
      </c>
    </row>
    <row r="116" spans="1:6" x14ac:dyDescent="0.35">
      <c r="A116">
        <v>115</v>
      </c>
      <c r="B116" t="s">
        <v>156</v>
      </c>
      <c r="C116" t="s">
        <v>41</v>
      </c>
      <c r="D116" t="s">
        <v>44</v>
      </c>
      <c r="E116" s="1">
        <v>45999</v>
      </c>
      <c r="F116">
        <v>3</v>
      </c>
    </row>
    <row r="117" spans="1:6" x14ac:dyDescent="0.35">
      <c r="A117">
        <v>116</v>
      </c>
      <c r="B117" t="s">
        <v>157</v>
      </c>
      <c r="C117" t="s">
        <v>46</v>
      </c>
      <c r="D117" t="s">
        <v>49</v>
      </c>
      <c r="E117" s="1">
        <v>45810</v>
      </c>
      <c r="F117">
        <v>9</v>
      </c>
    </row>
    <row r="118" spans="1:6" x14ac:dyDescent="0.35">
      <c r="A118">
        <v>117</v>
      </c>
      <c r="B118" t="s">
        <v>158</v>
      </c>
      <c r="C118" t="s">
        <v>41</v>
      </c>
      <c r="D118" t="s">
        <v>44</v>
      </c>
      <c r="E118" s="1">
        <v>45865</v>
      </c>
      <c r="F118">
        <v>4</v>
      </c>
    </row>
    <row r="119" spans="1:6" x14ac:dyDescent="0.35">
      <c r="A119">
        <v>118</v>
      </c>
      <c r="B119" t="s">
        <v>159</v>
      </c>
      <c r="C119" t="s">
        <v>46</v>
      </c>
      <c r="D119" t="s">
        <v>44</v>
      </c>
      <c r="E119" s="1">
        <v>45700</v>
      </c>
      <c r="F119">
        <v>7</v>
      </c>
    </row>
    <row r="120" spans="1:6" x14ac:dyDescent="0.35">
      <c r="A120">
        <v>119</v>
      </c>
      <c r="B120" t="s">
        <v>160</v>
      </c>
      <c r="C120" t="s">
        <v>41</v>
      </c>
      <c r="D120" t="s">
        <v>42</v>
      </c>
      <c r="E120" s="1">
        <v>45796</v>
      </c>
      <c r="F120">
        <v>10</v>
      </c>
    </row>
    <row r="121" spans="1:6" x14ac:dyDescent="0.35">
      <c r="A121">
        <v>120</v>
      </c>
      <c r="B121" t="s">
        <v>161</v>
      </c>
      <c r="C121" t="s">
        <v>46</v>
      </c>
      <c r="D121" t="s">
        <v>44</v>
      </c>
      <c r="E121" s="1">
        <v>45672</v>
      </c>
      <c r="F121">
        <v>8</v>
      </c>
    </row>
    <row r="122" spans="1:6" x14ac:dyDescent="0.35">
      <c r="A122">
        <v>121</v>
      </c>
      <c r="B122" t="s">
        <v>162</v>
      </c>
      <c r="C122" t="s">
        <v>41</v>
      </c>
      <c r="D122" t="s">
        <v>49</v>
      </c>
      <c r="E122" s="1">
        <v>45753</v>
      </c>
      <c r="F122">
        <v>6</v>
      </c>
    </row>
    <row r="123" spans="1:6" x14ac:dyDescent="0.35">
      <c r="A123">
        <v>122</v>
      </c>
      <c r="B123" t="s">
        <v>163</v>
      </c>
      <c r="C123" t="s">
        <v>46</v>
      </c>
      <c r="D123" t="s">
        <v>44</v>
      </c>
      <c r="E123" s="1">
        <v>45735</v>
      </c>
      <c r="F123">
        <v>2</v>
      </c>
    </row>
    <row r="124" spans="1:6" x14ac:dyDescent="0.35">
      <c r="A124">
        <v>123</v>
      </c>
      <c r="B124" t="s">
        <v>164</v>
      </c>
      <c r="C124" t="s">
        <v>41</v>
      </c>
      <c r="D124" t="s">
        <v>44</v>
      </c>
      <c r="E124" s="1">
        <v>45802</v>
      </c>
      <c r="F124">
        <v>1</v>
      </c>
    </row>
    <row r="125" spans="1:6" x14ac:dyDescent="0.35">
      <c r="A125">
        <v>124</v>
      </c>
      <c r="B125" t="s">
        <v>165</v>
      </c>
      <c r="C125" t="s">
        <v>46</v>
      </c>
      <c r="D125" t="s">
        <v>49</v>
      </c>
      <c r="E125" s="1">
        <v>45928</v>
      </c>
      <c r="F125">
        <v>5</v>
      </c>
    </row>
    <row r="126" spans="1:6" x14ac:dyDescent="0.35">
      <c r="A126">
        <v>125</v>
      </c>
      <c r="B126" t="s">
        <v>166</v>
      </c>
      <c r="C126" t="s">
        <v>41</v>
      </c>
      <c r="D126" t="s">
        <v>42</v>
      </c>
      <c r="E126" s="1">
        <v>45932</v>
      </c>
      <c r="F126">
        <v>3</v>
      </c>
    </row>
    <row r="127" spans="1:6" x14ac:dyDescent="0.35">
      <c r="A127">
        <v>126</v>
      </c>
      <c r="B127" t="s">
        <v>167</v>
      </c>
      <c r="C127" t="s">
        <v>46</v>
      </c>
      <c r="D127" t="s">
        <v>44</v>
      </c>
      <c r="E127" s="1">
        <v>45986</v>
      </c>
      <c r="F127">
        <v>4</v>
      </c>
    </row>
    <row r="128" spans="1:6" x14ac:dyDescent="0.35">
      <c r="A128">
        <v>127</v>
      </c>
      <c r="B128" t="s">
        <v>168</v>
      </c>
      <c r="C128" t="s">
        <v>41</v>
      </c>
      <c r="D128" t="s">
        <v>44</v>
      </c>
      <c r="E128" s="1">
        <v>45882</v>
      </c>
      <c r="F128">
        <v>7</v>
      </c>
    </row>
    <row r="129" spans="1:6" x14ac:dyDescent="0.35">
      <c r="A129">
        <v>128</v>
      </c>
      <c r="B129" t="s">
        <v>169</v>
      </c>
      <c r="C129" t="s">
        <v>46</v>
      </c>
      <c r="D129" t="s">
        <v>44</v>
      </c>
      <c r="E129" s="1">
        <v>45716</v>
      </c>
      <c r="F129">
        <v>6</v>
      </c>
    </row>
    <row r="130" spans="1:6" x14ac:dyDescent="0.35">
      <c r="A130">
        <v>129</v>
      </c>
      <c r="B130" t="s">
        <v>170</v>
      </c>
      <c r="C130" t="s">
        <v>41</v>
      </c>
      <c r="D130" t="s">
        <v>49</v>
      </c>
      <c r="E130" s="1">
        <v>45677</v>
      </c>
      <c r="F130">
        <v>2</v>
      </c>
    </row>
    <row r="131" spans="1:6" x14ac:dyDescent="0.35">
      <c r="A131">
        <v>130</v>
      </c>
      <c r="B131" t="s">
        <v>171</v>
      </c>
      <c r="C131" t="s">
        <v>46</v>
      </c>
      <c r="D131" t="s">
        <v>44</v>
      </c>
      <c r="E131" s="1">
        <v>45837</v>
      </c>
      <c r="F131">
        <v>9</v>
      </c>
    </row>
    <row r="132" spans="1:6" x14ac:dyDescent="0.35">
      <c r="A132">
        <v>131</v>
      </c>
      <c r="B132" t="s">
        <v>172</v>
      </c>
      <c r="C132" t="s">
        <v>41</v>
      </c>
      <c r="D132" t="s">
        <v>44</v>
      </c>
      <c r="E132" s="1">
        <v>45848</v>
      </c>
      <c r="F132">
        <v>8</v>
      </c>
    </row>
    <row r="133" spans="1:6" x14ac:dyDescent="0.35">
      <c r="A133">
        <v>132</v>
      </c>
      <c r="B133" t="s">
        <v>173</v>
      </c>
      <c r="C133" t="s">
        <v>46</v>
      </c>
      <c r="D133" t="s">
        <v>49</v>
      </c>
      <c r="E133" s="1">
        <v>45790</v>
      </c>
      <c r="F133">
        <v>1</v>
      </c>
    </row>
    <row r="134" spans="1:6" x14ac:dyDescent="0.35">
      <c r="A134">
        <v>133</v>
      </c>
      <c r="B134" t="s">
        <v>174</v>
      </c>
      <c r="C134" t="s">
        <v>41</v>
      </c>
      <c r="D134" t="s">
        <v>42</v>
      </c>
      <c r="E134" s="1">
        <v>45717</v>
      </c>
      <c r="F134">
        <v>4</v>
      </c>
    </row>
    <row r="135" spans="1:6" x14ac:dyDescent="0.35">
      <c r="A135">
        <v>134</v>
      </c>
      <c r="B135" t="s">
        <v>175</v>
      </c>
      <c r="C135" t="s">
        <v>46</v>
      </c>
      <c r="D135" t="s">
        <v>44</v>
      </c>
      <c r="E135" s="1">
        <v>45896</v>
      </c>
      <c r="F135">
        <v>10</v>
      </c>
    </row>
    <row r="136" spans="1:6" x14ac:dyDescent="0.35">
      <c r="A136">
        <v>135</v>
      </c>
      <c r="B136" t="s">
        <v>176</v>
      </c>
      <c r="C136" t="s">
        <v>41</v>
      </c>
      <c r="D136" t="s">
        <v>44</v>
      </c>
      <c r="E136" s="1">
        <v>45905</v>
      </c>
      <c r="F136">
        <v>5</v>
      </c>
    </row>
    <row r="137" spans="1:6" x14ac:dyDescent="0.35">
      <c r="A137">
        <v>136</v>
      </c>
      <c r="B137" t="s">
        <v>177</v>
      </c>
      <c r="C137" t="s">
        <v>46</v>
      </c>
      <c r="D137" t="s">
        <v>44</v>
      </c>
      <c r="E137" s="1">
        <v>45702</v>
      </c>
      <c r="F137">
        <v>3</v>
      </c>
    </row>
    <row r="138" spans="1:6" x14ac:dyDescent="0.35">
      <c r="A138">
        <v>137</v>
      </c>
      <c r="B138" t="s">
        <v>178</v>
      </c>
      <c r="C138" t="s">
        <v>41</v>
      </c>
      <c r="D138" t="s">
        <v>49</v>
      </c>
      <c r="E138" s="1">
        <v>45766</v>
      </c>
      <c r="F138">
        <v>6</v>
      </c>
    </row>
    <row r="139" spans="1:6" x14ac:dyDescent="0.35">
      <c r="A139">
        <v>138</v>
      </c>
      <c r="B139" t="s">
        <v>179</v>
      </c>
      <c r="C139" t="s">
        <v>46</v>
      </c>
      <c r="D139" t="s">
        <v>44</v>
      </c>
      <c r="E139" s="1">
        <v>45681</v>
      </c>
      <c r="F139">
        <v>7</v>
      </c>
    </row>
    <row r="140" spans="1:6" x14ac:dyDescent="0.35">
      <c r="A140">
        <v>139</v>
      </c>
      <c r="B140" t="s">
        <v>82</v>
      </c>
      <c r="C140" t="s">
        <v>41</v>
      </c>
      <c r="D140" t="s">
        <v>44</v>
      </c>
      <c r="E140" s="1">
        <v>45828</v>
      </c>
      <c r="F140">
        <v>9</v>
      </c>
    </row>
    <row r="141" spans="1:6" x14ac:dyDescent="0.35">
      <c r="A141">
        <v>140</v>
      </c>
      <c r="B141" t="s">
        <v>85</v>
      </c>
      <c r="C141" t="s">
        <v>46</v>
      </c>
      <c r="D141" t="s">
        <v>49</v>
      </c>
      <c r="E141" s="1">
        <v>45939</v>
      </c>
      <c r="F141">
        <v>2</v>
      </c>
    </row>
    <row r="142" spans="1:6" x14ac:dyDescent="0.35">
      <c r="A142">
        <v>141</v>
      </c>
      <c r="B142" t="s">
        <v>180</v>
      </c>
      <c r="C142" t="s">
        <v>41</v>
      </c>
      <c r="D142" t="s">
        <v>42</v>
      </c>
      <c r="E142" s="1">
        <v>45974</v>
      </c>
      <c r="F142">
        <v>8</v>
      </c>
    </row>
    <row r="143" spans="1:6" x14ac:dyDescent="0.35">
      <c r="A143">
        <v>142</v>
      </c>
      <c r="B143" t="s">
        <v>181</v>
      </c>
      <c r="C143" t="s">
        <v>46</v>
      </c>
      <c r="D143" t="s">
        <v>44</v>
      </c>
      <c r="E143" s="1">
        <v>45843</v>
      </c>
      <c r="F143">
        <v>4</v>
      </c>
    </row>
    <row r="144" spans="1:6" x14ac:dyDescent="0.35">
      <c r="A144">
        <v>143</v>
      </c>
      <c r="B144" t="s">
        <v>182</v>
      </c>
      <c r="C144" t="s">
        <v>41</v>
      </c>
      <c r="D144" t="s">
        <v>44</v>
      </c>
      <c r="E144" s="1">
        <v>45915</v>
      </c>
      <c r="F144">
        <v>5</v>
      </c>
    </row>
    <row r="145" spans="1:6" x14ac:dyDescent="0.35">
      <c r="A145">
        <v>144</v>
      </c>
      <c r="B145" t="s">
        <v>183</v>
      </c>
      <c r="C145" t="s">
        <v>46</v>
      </c>
      <c r="D145" t="s">
        <v>44</v>
      </c>
      <c r="E145" s="1">
        <v>45724</v>
      </c>
      <c r="F145">
        <v>1</v>
      </c>
    </row>
    <row r="146" spans="1:6" x14ac:dyDescent="0.35">
      <c r="A146">
        <v>145</v>
      </c>
      <c r="B146" t="s">
        <v>184</v>
      </c>
      <c r="C146" t="s">
        <v>41</v>
      </c>
      <c r="D146" t="s">
        <v>49</v>
      </c>
      <c r="E146" s="1">
        <v>45698</v>
      </c>
      <c r="F146">
        <v>3</v>
      </c>
    </row>
    <row r="147" spans="1:6" x14ac:dyDescent="0.35">
      <c r="A147">
        <v>146</v>
      </c>
      <c r="B147" t="s">
        <v>185</v>
      </c>
      <c r="C147" t="s">
        <v>46</v>
      </c>
      <c r="D147" t="s">
        <v>44</v>
      </c>
      <c r="E147" s="1">
        <v>45808</v>
      </c>
      <c r="F147">
        <v>6</v>
      </c>
    </row>
    <row r="148" spans="1:6" x14ac:dyDescent="0.35">
      <c r="A148">
        <v>147</v>
      </c>
      <c r="B148" t="s">
        <v>186</v>
      </c>
      <c r="C148" t="s">
        <v>41</v>
      </c>
      <c r="D148" t="s">
        <v>44</v>
      </c>
      <c r="E148" s="1">
        <v>45893</v>
      </c>
      <c r="F148">
        <v>2</v>
      </c>
    </row>
    <row r="149" spans="1:6" x14ac:dyDescent="0.35">
      <c r="A149">
        <v>148</v>
      </c>
      <c r="B149" t="s">
        <v>117</v>
      </c>
      <c r="C149" t="s">
        <v>46</v>
      </c>
      <c r="D149" t="s">
        <v>49</v>
      </c>
      <c r="E149" s="1">
        <v>45995</v>
      </c>
      <c r="F149">
        <v>10</v>
      </c>
    </row>
    <row r="150" spans="1:6" x14ac:dyDescent="0.35">
      <c r="A150">
        <v>149</v>
      </c>
      <c r="B150" t="s">
        <v>187</v>
      </c>
      <c r="C150" t="s">
        <v>41</v>
      </c>
      <c r="D150" t="s">
        <v>44</v>
      </c>
      <c r="E150" s="1">
        <v>45684</v>
      </c>
      <c r="F150">
        <v>7</v>
      </c>
    </row>
    <row r="151" spans="1:6" x14ac:dyDescent="0.35">
      <c r="A151">
        <v>150</v>
      </c>
      <c r="B151" t="s">
        <v>126</v>
      </c>
      <c r="C151" t="s">
        <v>46</v>
      </c>
      <c r="D151" t="s">
        <v>44</v>
      </c>
      <c r="E151" s="1">
        <v>45822</v>
      </c>
      <c r="F151">
        <v>9</v>
      </c>
    </row>
    <row r="152" spans="1:6" x14ac:dyDescent="0.35">
      <c r="A152">
        <v>151</v>
      </c>
      <c r="B152" t="s">
        <v>188</v>
      </c>
      <c r="C152" t="s">
        <v>41</v>
      </c>
      <c r="D152" t="s">
        <v>42</v>
      </c>
      <c r="E152" s="1">
        <v>45786</v>
      </c>
      <c r="F152">
        <v>4</v>
      </c>
    </row>
    <row r="153" spans="1:6" x14ac:dyDescent="0.35">
      <c r="A153">
        <v>152</v>
      </c>
      <c r="B153" t="s">
        <v>189</v>
      </c>
      <c r="C153" t="s">
        <v>46</v>
      </c>
      <c r="D153" t="s">
        <v>44</v>
      </c>
      <c r="E153" s="1">
        <v>45769</v>
      </c>
      <c r="F153">
        <v>8</v>
      </c>
    </row>
    <row r="154" spans="1:6" x14ac:dyDescent="0.35">
      <c r="A154">
        <v>153</v>
      </c>
      <c r="B154" t="s">
        <v>190</v>
      </c>
      <c r="C154" t="s">
        <v>41</v>
      </c>
      <c r="D154" t="s">
        <v>44</v>
      </c>
      <c r="E154" s="1">
        <v>45693</v>
      </c>
      <c r="F154">
        <v>1</v>
      </c>
    </row>
    <row r="155" spans="1:6" x14ac:dyDescent="0.35">
      <c r="A155">
        <v>154</v>
      </c>
      <c r="B155" t="s">
        <v>191</v>
      </c>
      <c r="C155" t="s">
        <v>46</v>
      </c>
      <c r="D155" t="s">
        <v>49</v>
      </c>
      <c r="E155" s="1">
        <v>45743</v>
      </c>
      <c r="F155">
        <v>2</v>
      </c>
    </row>
    <row r="156" spans="1:6" x14ac:dyDescent="0.35">
      <c r="A156">
        <v>155</v>
      </c>
      <c r="B156" t="s">
        <v>192</v>
      </c>
      <c r="C156" t="s">
        <v>41</v>
      </c>
      <c r="D156" t="s">
        <v>44</v>
      </c>
      <c r="E156" s="1">
        <v>45841</v>
      </c>
      <c r="F156">
        <v>6</v>
      </c>
    </row>
    <row r="157" spans="1:6" x14ac:dyDescent="0.35">
      <c r="A157">
        <v>156</v>
      </c>
      <c r="B157" t="s">
        <v>63</v>
      </c>
      <c r="C157" t="s">
        <v>46</v>
      </c>
      <c r="D157" t="s">
        <v>44</v>
      </c>
      <c r="E157" s="1">
        <v>45824</v>
      </c>
      <c r="F157">
        <v>3</v>
      </c>
    </row>
    <row r="158" spans="1:6" x14ac:dyDescent="0.35">
      <c r="A158">
        <v>157</v>
      </c>
      <c r="B158" t="s">
        <v>193</v>
      </c>
      <c r="C158" t="s">
        <v>41</v>
      </c>
      <c r="D158" t="s">
        <v>49</v>
      </c>
      <c r="E158" s="1">
        <v>45887</v>
      </c>
      <c r="F158">
        <v>5</v>
      </c>
    </row>
    <row r="159" spans="1:6" x14ac:dyDescent="0.35">
      <c r="A159">
        <v>158</v>
      </c>
      <c r="B159" t="s">
        <v>194</v>
      </c>
      <c r="C159" t="s">
        <v>46</v>
      </c>
      <c r="D159" t="s">
        <v>44</v>
      </c>
      <c r="E159" s="1">
        <v>45902</v>
      </c>
      <c r="F159">
        <v>9</v>
      </c>
    </row>
    <row r="160" spans="1:6" x14ac:dyDescent="0.35">
      <c r="A160">
        <v>159</v>
      </c>
      <c r="B160" t="s">
        <v>153</v>
      </c>
      <c r="C160" t="s">
        <v>41</v>
      </c>
      <c r="D160" t="s">
        <v>44</v>
      </c>
      <c r="E160" s="1">
        <v>45958</v>
      </c>
      <c r="F160">
        <v>7</v>
      </c>
    </row>
    <row r="161" spans="1:6" x14ac:dyDescent="0.35">
      <c r="A161">
        <v>160</v>
      </c>
      <c r="B161" t="s">
        <v>175</v>
      </c>
      <c r="C161" t="s">
        <v>46</v>
      </c>
      <c r="D161" t="s">
        <v>42</v>
      </c>
      <c r="E161" s="1">
        <v>45686</v>
      </c>
      <c r="F161">
        <v>2</v>
      </c>
    </row>
    <row r="162" spans="1:6" x14ac:dyDescent="0.35">
      <c r="A162">
        <v>161</v>
      </c>
      <c r="B162" t="s">
        <v>195</v>
      </c>
      <c r="C162" t="s">
        <v>41</v>
      </c>
      <c r="D162" t="s">
        <v>44</v>
      </c>
      <c r="E162" s="1">
        <v>45709</v>
      </c>
      <c r="F162">
        <v>4</v>
      </c>
    </row>
    <row r="163" spans="1:6" x14ac:dyDescent="0.35">
      <c r="A163">
        <v>162</v>
      </c>
      <c r="B163" t="s">
        <v>196</v>
      </c>
      <c r="C163" t="s">
        <v>46</v>
      </c>
      <c r="D163" t="s">
        <v>44</v>
      </c>
      <c r="E163" s="1">
        <v>45972</v>
      </c>
      <c r="F163">
        <v>1</v>
      </c>
    </row>
    <row r="164" spans="1:6" x14ac:dyDescent="0.35">
      <c r="A164">
        <v>163</v>
      </c>
      <c r="B164" t="s">
        <v>98</v>
      </c>
      <c r="C164" t="s">
        <v>41</v>
      </c>
      <c r="D164" t="s">
        <v>49</v>
      </c>
      <c r="E164" s="1">
        <v>45738</v>
      </c>
      <c r="F164">
        <v>8</v>
      </c>
    </row>
    <row r="165" spans="1:6" x14ac:dyDescent="0.35">
      <c r="A165">
        <v>164</v>
      </c>
      <c r="B165" t="s">
        <v>197</v>
      </c>
      <c r="C165" t="s">
        <v>46</v>
      </c>
      <c r="D165" t="s">
        <v>44</v>
      </c>
      <c r="E165" s="1">
        <v>45785</v>
      </c>
      <c r="F165">
        <v>6</v>
      </c>
    </row>
    <row r="166" spans="1:6" x14ac:dyDescent="0.35">
      <c r="A166">
        <v>165</v>
      </c>
      <c r="B166" t="s">
        <v>108</v>
      </c>
      <c r="C166" t="s">
        <v>41</v>
      </c>
      <c r="D166" t="s">
        <v>44</v>
      </c>
      <c r="E166" s="1">
        <v>45919</v>
      </c>
      <c r="F166">
        <v>3</v>
      </c>
    </row>
    <row r="167" spans="1:6" x14ac:dyDescent="0.35">
      <c r="A167">
        <v>166</v>
      </c>
      <c r="B167" t="s">
        <v>198</v>
      </c>
      <c r="C167" t="s">
        <v>46</v>
      </c>
      <c r="D167" t="s">
        <v>49</v>
      </c>
      <c r="E167" s="1">
        <v>45994</v>
      </c>
      <c r="F167">
        <v>10</v>
      </c>
    </row>
    <row r="168" spans="1:6" x14ac:dyDescent="0.35">
      <c r="A168">
        <v>167</v>
      </c>
      <c r="B168" t="s">
        <v>199</v>
      </c>
      <c r="C168" t="s">
        <v>41</v>
      </c>
      <c r="D168" t="s">
        <v>44</v>
      </c>
      <c r="E168" s="1">
        <v>45760</v>
      </c>
      <c r="F168">
        <v>5</v>
      </c>
    </row>
    <row r="169" spans="1:6" x14ac:dyDescent="0.35">
      <c r="A169">
        <v>168</v>
      </c>
      <c r="B169" t="s">
        <v>200</v>
      </c>
      <c r="C169" t="s">
        <v>46</v>
      </c>
      <c r="D169" t="s">
        <v>44</v>
      </c>
      <c r="E169" s="1">
        <v>45815</v>
      </c>
      <c r="F169">
        <v>2</v>
      </c>
    </row>
    <row r="170" spans="1:6" x14ac:dyDescent="0.35">
      <c r="A170">
        <v>169</v>
      </c>
      <c r="B170" t="s">
        <v>201</v>
      </c>
      <c r="C170" t="s">
        <v>41</v>
      </c>
      <c r="D170" t="s">
        <v>44</v>
      </c>
      <c r="E170" s="1">
        <v>45863</v>
      </c>
      <c r="F170">
        <v>9</v>
      </c>
    </row>
    <row r="171" spans="1:6" x14ac:dyDescent="0.35">
      <c r="A171">
        <v>170</v>
      </c>
      <c r="B171" t="s">
        <v>202</v>
      </c>
      <c r="C171" t="s">
        <v>46</v>
      </c>
      <c r="D171" t="s">
        <v>49</v>
      </c>
      <c r="E171" s="1">
        <v>45900</v>
      </c>
      <c r="F171">
        <v>7</v>
      </c>
    </row>
    <row r="172" spans="1:6" x14ac:dyDescent="0.35">
      <c r="A172">
        <v>171</v>
      </c>
      <c r="B172" t="s">
        <v>203</v>
      </c>
      <c r="C172" t="s">
        <v>41</v>
      </c>
      <c r="D172" t="s">
        <v>42</v>
      </c>
      <c r="E172" s="1">
        <v>45936</v>
      </c>
      <c r="F172">
        <v>1</v>
      </c>
    </row>
    <row r="173" spans="1:6" x14ac:dyDescent="0.35">
      <c r="A173">
        <v>172</v>
      </c>
      <c r="B173" t="s">
        <v>130</v>
      </c>
      <c r="C173" t="s">
        <v>46</v>
      </c>
      <c r="D173" t="s">
        <v>44</v>
      </c>
      <c r="E173" s="1">
        <v>45668</v>
      </c>
      <c r="F173">
        <v>4</v>
      </c>
    </row>
    <row r="174" spans="1:6" x14ac:dyDescent="0.35">
      <c r="A174">
        <v>173</v>
      </c>
      <c r="B174" t="s">
        <v>204</v>
      </c>
      <c r="C174" t="s">
        <v>41</v>
      </c>
      <c r="D174" t="s">
        <v>44</v>
      </c>
      <c r="E174" s="1">
        <v>45714</v>
      </c>
      <c r="F174">
        <v>6</v>
      </c>
    </row>
    <row r="175" spans="1:6" x14ac:dyDescent="0.35">
      <c r="A175">
        <v>174</v>
      </c>
      <c r="B175" t="s">
        <v>205</v>
      </c>
      <c r="C175" t="s">
        <v>46</v>
      </c>
      <c r="D175" t="s">
        <v>44</v>
      </c>
      <c r="E175" s="1">
        <v>45907</v>
      </c>
      <c r="F175">
        <v>8</v>
      </c>
    </row>
    <row r="176" spans="1:6" x14ac:dyDescent="0.35">
      <c r="A176">
        <v>175</v>
      </c>
      <c r="B176" t="s">
        <v>160</v>
      </c>
      <c r="C176" t="s">
        <v>41</v>
      </c>
      <c r="D176" t="s">
        <v>49</v>
      </c>
      <c r="E176" s="1">
        <v>45979</v>
      </c>
      <c r="F176">
        <v>5</v>
      </c>
    </row>
    <row r="177" spans="1:6" x14ac:dyDescent="0.35">
      <c r="A177">
        <v>176</v>
      </c>
      <c r="B177" t="s">
        <v>206</v>
      </c>
      <c r="C177" t="s">
        <v>46</v>
      </c>
      <c r="D177" t="s">
        <v>44</v>
      </c>
      <c r="E177" s="1">
        <v>45719</v>
      </c>
      <c r="F177">
        <v>3</v>
      </c>
    </row>
    <row r="178" spans="1:6" x14ac:dyDescent="0.35">
      <c r="A178">
        <v>177</v>
      </c>
      <c r="B178" t="s">
        <v>207</v>
      </c>
      <c r="C178" t="s">
        <v>41</v>
      </c>
      <c r="D178" t="s">
        <v>44</v>
      </c>
      <c r="E178" s="1">
        <v>45800</v>
      </c>
      <c r="F178">
        <v>2</v>
      </c>
    </row>
    <row r="179" spans="1:6" x14ac:dyDescent="0.35">
      <c r="A179">
        <v>178</v>
      </c>
      <c r="B179" t="s">
        <v>208</v>
      </c>
      <c r="C179" t="s">
        <v>46</v>
      </c>
      <c r="D179" t="s">
        <v>49</v>
      </c>
      <c r="E179" s="1">
        <v>45869</v>
      </c>
      <c r="F179">
        <v>9</v>
      </c>
    </row>
    <row r="180" spans="1:6" x14ac:dyDescent="0.35">
      <c r="A180">
        <v>179</v>
      </c>
      <c r="B180" t="s">
        <v>153</v>
      </c>
      <c r="C180" t="s">
        <v>41</v>
      </c>
      <c r="D180" t="s">
        <v>44</v>
      </c>
      <c r="E180" s="1">
        <v>45827</v>
      </c>
      <c r="F180">
        <v>6</v>
      </c>
    </row>
    <row r="181" spans="1:6" x14ac:dyDescent="0.35">
      <c r="A181">
        <v>180</v>
      </c>
      <c r="B181" t="s">
        <v>209</v>
      </c>
      <c r="C181" t="s">
        <v>46</v>
      </c>
      <c r="D181" t="s">
        <v>44</v>
      </c>
      <c r="E181" s="1">
        <v>45754</v>
      </c>
      <c r="F181">
        <v>7</v>
      </c>
    </row>
    <row r="182" spans="1:6" x14ac:dyDescent="0.35">
      <c r="A182">
        <v>181</v>
      </c>
      <c r="B182" t="s">
        <v>210</v>
      </c>
      <c r="C182" t="s">
        <v>41</v>
      </c>
      <c r="D182" t="s">
        <v>44</v>
      </c>
      <c r="E182" s="1">
        <v>45879</v>
      </c>
      <c r="F182">
        <v>10</v>
      </c>
    </row>
    <row r="183" spans="1:6" x14ac:dyDescent="0.35">
      <c r="A183">
        <v>182</v>
      </c>
      <c r="B183" t="s">
        <v>211</v>
      </c>
      <c r="C183" t="s">
        <v>46</v>
      </c>
      <c r="D183" t="s">
        <v>49</v>
      </c>
      <c r="E183" s="1">
        <v>45931</v>
      </c>
      <c r="F183">
        <v>4</v>
      </c>
    </row>
    <row r="184" spans="1:6" x14ac:dyDescent="0.35">
      <c r="A184">
        <v>183</v>
      </c>
      <c r="B184" t="s">
        <v>182</v>
      </c>
      <c r="C184" t="s">
        <v>41</v>
      </c>
      <c r="D184" t="s">
        <v>44</v>
      </c>
      <c r="E184" s="1">
        <v>45998</v>
      </c>
      <c r="F184">
        <v>1</v>
      </c>
    </row>
    <row r="185" spans="1:6" x14ac:dyDescent="0.35">
      <c r="A185">
        <v>184</v>
      </c>
      <c r="B185" t="s">
        <v>103</v>
      </c>
      <c r="C185" t="s">
        <v>46</v>
      </c>
      <c r="D185" t="s">
        <v>44</v>
      </c>
      <c r="E185" s="1">
        <v>45707</v>
      </c>
      <c r="F185">
        <v>3</v>
      </c>
    </row>
    <row r="186" spans="1:6" x14ac:dyDescent="0.35">
      <c r="A186">
        <v>185</v>
      </c>
      <c r="B186" t="s">
        <v>212</v>
      </c>
      <c r="C186" t="s">
        <v>41</v>
      </c>
      <c r="D186" t="s">
        <v>44</v>
      </c>
      <c r="E186" s="1">
        <v>45913</v>
      </c>
      <c r="F186">
        <v>8</v>
      </c>
    </row>
    <row r="187" spans="1:6" x14ac:dyDescent="0.35">
      <c r="A187">
        <v>186</v>
      </c>
      <c r="B187" t="s">
        <v>183</v>
      </c>
      <c r="C187" t="s">
        <v>46</v>
      </c>
      <c r="D187" t="s">
        <v>49</v>
      </c>
      <c r="E187" s="1">
        <v>45983</v>
      </c>
      <c r="F187">
        <v>2</v>
      </c>
    </row>
    <row r="188" spans="1:6" x14ac:dyDescent="0.35">
      <c r="A188">
        <v>187</v>
      </c>
      <c r="B188" t="s">
        <v>213</v>
      </c>
      <c r="C188" t="s">
        <v>41</v>
      </c>
      <c r="D188" t="s">
        <v>44</v>
      </c>
      <c r="E188" s="1">
        <v>45673</v>
      </c>
      <c r="F188">
        <v>5</v>
      </c>
    </row>
    <row r="189" spans="1:6" x14ac:dyDescent="0.35">
      <c r="A189">
        <v>188</v>
      </c>
      <c r="B189" t="s">
        <v>214</v>
      </c>
      <c r="C189" t="s">
        <v>46</v>
      </c>
      <c r="D189" t="s">
        <v>44</v>
      </c>
      <c r="E189" s="1">
        <v>45741</v>
      </c>
      <c r="F189">
        <v>6</v>
      </c>
    </row>
    <row r="190" spans="1:6" x14ac:dyDescent="0.35">
      <c r="A190">
        <v>189</v>
      </c>
      <c r="B190" t="s">
        <v>215</v>
      </c>
      <c r="C190" t="s">
        <v>41</v>
      </c>
      <c r="D190" t="s">
        <v>44</v>
      </c>
      <c r="E190" s="1">
        <v>45807</v>
      </c>
      <c r="F190">
        <v>9</v>
      </c>
    </row>
    <row r="191" spans="1:6" x14ac:dyDescent="0.35">
      <c r="A191">
        <v>190</v>
      </c>
      <c r="B191" t="s">
        <v>216</v>
      </c>
      <c r="C191" t="s">
        <v>46</v>
      </c>
      <c r="D191" t="s">
        <v>44</v>
      </c>
      <c r="E191" s="1">
        <v>45851</v>
      </c>
      <c r="F191">
        <v>7</v>
      </c>
    </row>
    <row r="192" spans="1:6" x14ac:dyDescent="0.35">
      <c r="A192">
        <v>191</v>
      </c>
      <c r="B192" t="s">
        <v>217</v>
      </c>
      <c r="C192" t="s">
        <v>41</v>
      </c>
      <c r="D192" t="s">
        <v>49</v>
      </c>
      <c r="E192" s="1">
        <v>45812</v>
      </c>
      <c r="F192">
        <v>2</v>
      </c>
    </row>
    <row r="193" spans="1:6" x14ac:dyDescent="0.35">
      <c r="A193">
        <v>192</v>
      </c>
      <c r="B193" t="s">
        <v>218</v>
      </c>
      <c r="C193" t="s">
        <v>46</v>
      </c>
      <c r="D193" t="s">
        <v>44</v>
      </c>
      <c r="E193" s="1">
        <v>45765</v>
      </c>
      <c r="F193">
        <v>1</v>
      </c>
    </row>
    <row r="194" spans="1:6" x14ac:dyDescent="0.35">
      <c r="A194">
        <v>193</v>
      </c>
      <c r="B194" t="s">
        <v>108</v>
      </c>
      <c r="C194" t="s">
        <v>41</v>
      </c>
      <c r="D194" t="s">
        <v>44</v>
      </c>
      <c r="E194" s="1">
        <v>45685</v>
      </c>
      <c r="F194">
        <v>4</v>
      </c>
    </row>
    <row r="195" spans="1:6" x14ac:dyDescent="0.35">
      <c r="A195">
        <v>194</v>
      </c>
      <c r="B195" t="s">
        <v>219</v>
      </c>
      <c r="C195" t="s">
        <v>46</v>
      </c>
      <c r="D195" t="s">
        <v>42</v>
      </c>
      <c r="E195" s="1">
        <v>45875</v>
      </c>
      <c r="F195">
        <v>10</v>
      </c>
    </row>
    <row r="196" spans="1:6" x14ac:dyDescent="0.35">
      <c r="A196">
        <v>195</v>
      </c>
      <c r="B196" t="s">
        <v>220</v>
      </c>
      <c r="C196" t="s">
        <v>41</v>
      </c>
      <c r="D196" t="s">
        <v>44</v>
      </c>
      <c r="E196" s="1">
        <v>45723</v>
      </c>
      <c r="F196">
        <v>3</v>
      </c>
    </row>
    <row r="197" spans="1:6" x14ac:dyDescent="0.35">
      <c r="A197">
        <v>196</v>
      </c>
      <c r="B197" t="s">
        <v>221</v>
      </c>
      <c r="C197" t="s">
        <v>46</v>
      </c>
      <c r="D197" t="s">
        <v>44</v>
      </c>
      <c r="E197" s="1">
        <v>45703</v>
      </c>
      <c r="F197">
        <v>5</v>
      </c>
    </row>
    <row r="198" spans="1:6" x14ac:dyDescent="0.35">
      <c r="A198">
        <v>197</v>
      </c>
      <c r="B198" t="s">
        <v>172</v>
      </c>
      <c r="C198" t="s">
        <v>41</v>
      </c>
      <c r="D198" t="s">
        <v>49</v>
      </c>
      <c r="E198" s="1">
        <v>45834</v>
      </c>
      <c r="F198">
        <v>6</v>
      </c>
    </row>
    <row r="199" spans="1:6" x14ac:dyDescent="0.35">
      <c r="A199">
        <v>198</v>
      </c>
      <c r="B199" t="s">
        <v>71</v>
      </c>
      <c r="C199" t="s">
        <v>46</v>
      </c>
      <c r="D199" t="s">
        <v>44</v>
      </c>
      <c r="E199" s="1">
        <v>45916</v>
      </c>
      <c r="F199">
        <v>8</v>
      </c>
    </row>
    <row r="200" spans="1:6" x14ac:dyDescent="0.35">
      <c r="A200">
        <v>199</v>
      </c>
      <c r="B200" t="s">
        <v>222</v>
      </c>
      <c r="C200" t="s">
        <v>41</v>
      </c>
      <c r="D200" t="s">
        <v>44</v>
      </c>
      <c r="E200" s="1">
        <v>45971</v>
      </c>
      <c r="F200">
        <v>9</v>
      </c>
    </row>
    <row r="201" spans="1:6" x14ac:dyDescent="0.35">
      <c r="A201">
        <v>200</v>
      </c>
      <c r="B201" t="s">
        <v>59</v>
      </c>
      <c r="C201" t="s">
        <v>46</v>
      </c>
      <c r="D201" t="s">
        <v>49</v>
      </c>
      <c r="E201" s="1">
        <v>45782</v>
      </c>
      <c r="F201">
        <v>2</v>
      </c>
    </row>
    <row r="202" spans="1:6" x14ac:dyDescent="0.35">
      <c r="A202">
        <v>201</v>
      </c>
      <c r="B202" t="s">
        <v>223</v>
      </c>
      <c r="C202" t="s">
        <v>41</v>
      </c>
      <c r="D202" t="s">
        <v>44</v>
      </c>
      <c r="E202" s="1">
        <v>45669</v>
      </c>
      <c r="F202">
        <v>1</v>
      </c>
    </row>
    <row r="203" spans="1:6" x14ac:dyDescent="0.35">
      <c r="A203">
        <v>202</v>
      </c>
      <c r="B203" t="s">
        <v>177</v>
      </c>
      <c r="C203" t="s">
        <v>46</v>
      </c>
      <c r="D203" t="s">
        <v>44</v>
      </c>
      <c r="E203" s="1">
        <v>45768</v>
      </c>
      <c r="F203">
        <v>3</v>
      </c>
    </row>
    <row r="204" spans="1:6" x14ac:dyDescent="0.35">
      <c r="A204">
        <v>203</v>
      </c>
      <c r="B204" t="s">
        <v>174</v>
      </c>
      <c r="C204" t="s">
        <v>41</v>
      </c>
      <c r="D204" t="s">
        <v>49</v>
      </c>
      <c r="E204" s="1">
        <v>45861</v>
      </c>
      <c r="F204">
        <v>7</v>
      </c>
    </row>
    <row r="205" spans="1:6" x14ac:dyDescent="0.35">
      <c r="A205">
        <v>204</v>
      </c>
      <c r="B205" t="s">
        <v>224</v>
      </c>
      <c r="C205" t="s">
        <v>46</v>
      </c>
      <c r="D205" t="s">
        <v>44</v>
      </c>
      <c r="E205" s="1">
        <v>45921</v>
      </c>
      <c r="F205">
        <v>5</v>
      </c>
    </row>
    <row r="206" spans="1:6" x14ac:dyDescent="0.35">
      <c r="A206">
        <v>205</v>
      </c>
      <c r="B206" t="s">
        <v>225</v>
      </c>
      <c r="C206" t="s">
        <v>41</v>
      </c>
      <c r="D206" t="s">
        <v>44</v>
      </c>
      <c r="E206" s="1">
        <v>45873</v>
      </c>
      <c r="F206">
        <v>4</v>
      </c>
    </row>
    <row r="207" spans="1:6" x14ac:dyDescent="0.35">
      <c r="A207">
        <v>206</v>
      </c>
      <c r="B207" t="s">
        <v>226</v>
      </c>
      <c r="C207" t="s">
        <v>46</v>
      </c>
      <c r="D207" t="s">
        <v>42</v>
      </c>
      <c r="E207" s="1">
        <v>45954</v>
      </c>
      <c r="F207">
        <v>6</v>
      </c>
    </row>
    <row r="208" spans="1:6" x14ac:dyDescent="0.35">
      <c r="A208">
        <v>207</v>
      </c>
      <c r="B208" t="s">
        <v>227</v>
      </c>
      <c r="C208" t="s">
        <v>41</v>
      </c>
      <c r="D208" t="s">
        <v>44</v>
      </c>
      <c r="E208" s="1">
        <v>45996</v>
      </c>
      <c r="F208">
        <v>8</v>
      </c>
    </row>
    <row r="209" spans="1:6" x14ac:dyDescent="0.35">
      <c r="A209">
        <v>208</v>
      </c>
      <c r="B209" t="s">
        <v>139</v>
      </c>
      <c r="C209" t="s">
        <v>46</v>
      </c>
      <c r="D209" t="s">
        <v>44</v>
      </c>
      <c r="E209" s="1">
        <v>45706</v>
      </c>
      <c r="F209">
        <v>9</v>
      </c>
    </row>
    <row r="210" spans="1:6" x14ac:dyDescent="0.35">
      <c r="A210">
        <v>209</v>
      </c>
      <c r="B210" t="s">
        <v>188</v>
      </c>
      <c r="C210" t="s">
        <v>41</v>
      </c>
      <c r="D210" t="s">
        <v>49</v>
      </c>
      <c r="E210" s="1">
        <v>45821</v>
      </c>
      <c r="F210">
        <v>2</v>
      </c>
    </row>
    <row r="211" spans="1:6" x14ac:dyDescent="0.35">
      <c r="A211">
        <v>210</v>
      </c>
      <c r="B211" t="s">
        <v>228</v>
      </c>
      <c r="C211" t="s">
        <v>46</v>
      </c>
      <c r="D211" t="s">
        <v>44</v>
      </c>
      <c r="E211" s="1">
        <v>45745</v>
      </c>
      <c r="F211">
        <v>10</v>
      </c>
    </row>
    <row r="212" spans="1:6" x14ac:dyDescent="0.35">
      <c r="A212">
        <v>211</v>
      </c>
      <c r="B212" t="s">
        <v>100</v>
      </c>
      <c r="C212" t="s">
        <v>41</v>
      </c>
      <c r="D212" t="s">
        <v>44</v>
      </c>
      <c r="E212" s="1">
        <v>45797</v>
      </c>
      <c r="F212">
        <v>5</v>
      </c>
    </row>
    <row r="213" spans="1:6" x14ac:dyDescent="0.35">
      <c r="A213">
        <v>212</v>
      </c>
      <c r="B213" t="s">
        <v>229</v>
      </c>
      <c r="C213" t="s">
        <v>46</v>
      </c>
      <c r="D213" t="s">
        <v>49</v>
      </c>
      <c r="E213" s="1">
        <v>45674</v>
      </c>
      <c r="F213">
        <v>6</v>
      </c>
    </row>
    <row r="214" spans="1:6" x14ac:dyDescent="0.35">
      <c r="A214">
        <v>213</v>
      </c>
      <c r="B214" t="s">
        <v>230</v>
      </c>
      <c r="C214" t="s">
        <v>41</v>
      </c>
      <c r="D214" t="s">
        <v>44</v>
      </c>
      <c r="E214" s="1">
        <v>45734</v>
      </c>
      <c r="F214">
        <v>1</v>
      </c>
    </row>
    <row r="215" spans="1:6" x14ac:dyDescent="0.35">
      <c r="A215">
        <v>214</v>
      </c>
      <c r="B215" t="s">
        <v>111</v>
      </c>
      <c r="C215" t="s">
        <v>46</v>
      </c>
      <c r="D215" t="s">
        <v>44</v>
      </c>
      <c r="E215" s="1">
        <v>45849</v>
      </c>
      <c r="F215">
        <v>4</v>
      </c>
    </row>
    <row r="216" spans="1:6" x14ac:dyDescent="0.35">
      <c r="A216">
        <v>215</v>
      </c>
      <c r="B216" t="s">
        <v>231</v>
      </c>
      <c r="C216" t="s">
        <v>41</v>
      </c>
      <c r="D216" t="s">
        <v>42</v>
      </c>
      <c r="E216" s="1">
        <v>45926</v>
      </c>
      <c r="F216">
        <v>3</v>
      </c>
    </row>
    <row r="217" spans="1:6" x14ac:dyDescent="0.35">
      <c r="A217">
        <v>216</v>
      </c>
      <c r="B217" t="s">
        <v>232</v>
      </c>
      <c r="C217" t="s">
        <v>46</v>
      </c>
      <c r="D217" t="s">
        <v>44</v>
      </c>
      <c r="E217" s="1">
        <v>45981</v>
      </c>
      <c r="F217">
        <v>7</v>
      </c>
    </row>
    <row r="218" spans="1:6" x14ac:dyDescent="0.35">
      <c r="A218">
        <v>217</v>
      </c>
      <c r="B218" t="s">
        <v>233</v>
      </c>
      <c r="C218" t="s">
        <v>41</v>
      </c>
      <c r="D218" t="s">
        <v>44</v>
      </c>
      <c r="E218" s="1">
        <v>45711</v>
      </c>
      <c r="F218">
        <v>8</v>
      </c>
    </row>
    <row r="219" spans="1:6" x14ac:dyDescent="0.35">
      <c r="A219">
        <v>218</v>
      </c>
      <c r="B219" t="s">
        <v>155</v>
      </c>
      <c r="C219" t="s">
        <v>46</v>
      </c>
      <c r="D219" t="s">
        <v>49</v>
      </c>
      <c r="E219" s="1">
        <v>45774</v>
      </c>
      <c r="F219">
        <v>9</v>
      </c>
    </row>
    <row r="220" spans="1:6" x14ac:dyDescent="0.35">
      <c r="A220">
        <v>219</v>
      </c>
      <c r="B220" t="s">
        <v>112</v>
      </c>
      <c r="C220" t="s">
        <v>41</v>
      </c>
      <c r="D220" t="s">
        <v>44</v>
      </c>
      <c r="E220" s="1">
        <v>45830</v>
      </c>
      <c r="F220">
        <v>2</v>
      </c>
    </row>
    <row r="221" spans="1:6" x14ac:dyDescent="0.35">
      <c r="A221">
        <v>220</v>
      </c>
      <c r="B221" t="s">
        <v>234</v>
      </c>
      <c r="C221" t="s">
        <v>46</v>
      </c>
      <c r="D221" t="s">
        <v>44</v>
      </c>
      <c r="E221" s="1">
        <v>45899</v>
      </c>
      <c r="F221">
        <v>1</v>
      </c>
    </row>
    <row r="222" spans="1:6" x14ac:dyDescent="0.35">
      <c r="A222">
        <v>221</v>
      </c>
      <c r="B222" t="s">
        <v>235</v>
      </c>
      <c r="C222" t="s">
        <v>41</v>
      </c>
      <c r="D222" t="s">
        <v>49</v>
      </c>
      <c r="E222" s="1">
        <v>45947</v>
      </c>
      <c r="F222">
        <v>4</v>
      </c>
    </row>
    <row r="223" spans="1:6" x14ac:dyDescent="0.35">
      <c r="A223">
        <v>222</v>
      </c>
      <c r="B223" t="s">
        <v>150</v>
      </c>
      <c r="C223" t="s">
        <v>46</v>
      </c>
      <c r="D223" t="s">
        <v>44</v>
      </c>
      <c r="E223" s="1">
        <v>45729</v>
      </c>
      <c r="F223">
        <v>6</v>
      </c>
    </row>
    <row r="224" spans="1:6" x14ac:dyDescent="0.35">
      <c r="A224">
        <v>223</v>
      </c>
      <c r="B224" t="s">
        <v>236</v>
      </c>
      <c r="C224" t="s">
        <v>41</v>
      </c>
      <c r="D224" t="s">
        <v>44</v>
      </c>
      <c r="E224" s="1">
        <v>45793</v>
      </c>
      <c r="F224">
        <v>5</v>
      </c>
    </row>
    <row r="225" spans="1:6" x14ac:dyDescent="0.35">
      <c r="A225">
        <v>224</v>
      </c>
      <c r="B225" t="s">
        <v>237</v>
      </c>
      <c r="C225" t="s">
        <v>46</v>
      </c>
      <c r="D225" t="s">
        <v>49</v>
      </c>
      <c r="E225" s="1">
        <v>45904</v>
      </c>
      <c r="F225">
        <v>10</v>
      </c>
    </row>
    <row r="226" spans="1:6" x14ac:dyDescent="0.35">
      <c r="A226">
        <v>225</v>
      </c>
      <c r="B226" t="s">
        <v>98</v>
      </c>
      <c r="C226" t="s">
        <v>41</v>
      </c>
      <c r="D226" t="s">
        <v>44</v>
      </c>
      <c r="E226" s="1">
        <v>45671</v>
      </c>
      <c r="F226">
        <v>7</v>
      </c>
    </row>
    <row r="227" spans="1:6" x14ac:dyDescent="0.35">
      <c r="A227">
        <v>226</v>
      </c>
      <c r="B227" t="s">
        <v>238</v>
      </c>
      <c r="C227" t="s">
        <v>46</v>
      </c>
      <c r="D227" t="s">
        <v>44</v>
      </c>
      <c r="E227" s="1">
        <v>45696</v>
      </c>
      <c r="F227">
        <v>3</v>
      </c>
    </row>
    <row r="228" spans="1:6" x14ac:dyDescent="0.35">
      <c r="A228">
        <v>227</v>
      </c>
      <c r="B228" t="s">
        <v>239</v>
      </c>
      <c r="C228" t="s">
        <v>41</v>
      </c>
      <c r="D228" t="s">
        <v>42</v>
      </c>
      <c r="E228" s="1">
        <v>45838</v>
      </c>
      <c r="F228">
        <v>2</v>
      </c>
    </row>
    <row r="229" spans="1:6" x14ac:dyDescent="0.35">
      <c r="A229">
        <v>228</v>
      </c>
      <c r="B229" t="s">
        <v>130</v>
      </c>
      <c r="C229" t="s">
        <v>46</v>
      </c>
      <c r="D229" t="s">
        <v>44</v>
      </c>
      <c r="E229" s="1">
        <v>45876</v>
      </c>
      <c r="F229">
        <v>9</v>
      </c>
    </row>
    <row r="230" spans="1:6" x14ac:dyDescent="0.35">
      <c r="A230">
        <v>229</v>
      </c>
      <c r="B230" t="s">
        <v>240</v>
      </c>
      <c r="C230" t="s">
        <v>41</v>
      </c>
      <c r="D230" t="s">
        <v>44</v>
      </c>
      <c r="E230" s="1">
        <v>45866</v>
      </c>
      <c r="F230">
        <v>8</v>
      </c>
    </row>
    <row r="231" spans="1:6" x14ac:dyDescent="0.35">
      <c r="A231">
        <v>230</v>
      </c>
      <c r="B231" t="s">
        <v>241</v>
      </c>
      <c r="C231" t="s">
        <v>46</v>
      </c>
      <c r="D231" t="s">
        <v>49</v>
      </c>
      <c r="E231" s="1">
        <v>45752</v>
      </c>
      <c r="F231">
        <v>6</v>
      </c>
    </row>
    <row r="232" spans="1:6" x14ac:dyDescent="0.35">
      <c r="A232">
        <v>231</v>
      </c>
      <c r="B232" t="s">
        <v>242</v>
      </c>
      <c r="C232" t="s">
        <v>41</v>
      </c>
      <c r="D232" t="s">
        <v>44</v>
      </c>
      <c r="E232" s="1">
        <v>45689</v>
      </c>
      <c r="F232">
        <v>1</v>
      </c>
    </row>
    <row r="233" spans="1:6" x14ac:dyDescent="0.35">
      <c r="A233">
        <v>232</v>
      </c>
      <c r="B233" t="s">
        <v>243</v>
      </c>
      <c r="C233" t="s">
        <v>46</v>
      </c>
      <c r="D233" t="s">
        <v>44</v>
      </c>
      <c r="E233" s="1">
        <v>45799</v>
      </c>
      <c r="F233">
        <v>4</v>
      </c>
    </row>
    <row r="234" spans="1:6" x14ac:dyDescent="0.35">
      <c r="A234">
        <v>233</v>
      </c>
      <c r="B234" t="s">
        <v>192</v>
      </c>
      <c r="C234" t="s">
        <v>41</v>
      </c>
      <c r="D234" t="s">
        <v>49</v>
      </c>
      <c r="E234" s="1">
        <v>45924</v>
      </c>
      <c r="F234">
        <v>3</v>
      </c>
    </row>
    <row r="235" spans="1:6" x14ac:dyDescent="0.35">
      <c r="A235">
        <v>234</v>
      </c>
      <c r="B235" t="s">
        <v>103</v>
      </c>
      <c r="C235" t="s">
        <v>46</v>
      </c>
      <c r="D235" t="s">
        <v>44</v>
      </c>
      <c r="E235" s="1">
        <v>45975</v>
      </c>
      <c r="F235">
        <v>5</v>
      </c>
    </row>
    <row r="236" spans="1:6" x14ac:dyDescent="0.35">
      <c r="A236">
        <v>235</v>
      </c>
      <c r="B236" t="s">
        <v>125</v>
      </c>
      <c r="C236" t="s">
        <v>41</v>
      </c>
      <c r="D236" t="s">
        <v>44</v>
      </c>
      <c r="E236" s="1">
        <v>45736</v>
      </c>
      <c r="F236">
        <v>7</v>
      </c>
    </row>
    <row r="237" spans="1:6" x14ac:dyDescent="0.35">
      <c r="A237">
        <v>236</v>
      </c>
      <c r="B237" t="s">
        <v>198</v>
      </c>
      <c r="C237" t="s">
        <v>46</v>
      </c>
      <c r="D237" t="s">
        <v>49</v>
      </c>
      <c r="E237" s="1">
        <v>45676</v>
      </c>
      <c r="F237">
        <v>2</v>
      </c>
    </row>
    <row r="238" spans="1:6" x14ac:dyDescent="0.35">
      <c r="A238">
        <v>237</v>
      </c>
      <c r="B238" t="s">
        <v>140</v>
      </c>
      <c r="C238" t="s">
        <v>41</v>
      </c>
      <c r="D238" t="s">
        <v>44</v>
      </c>
      <c r="E238" s="1">
        <v>45820</v>
      </c>
      <c r="F238">
        <v>9</v>
      </c>
    </row>
    <row r="239" spans="1:6" x14ac:dyDescent="0.35">
      <c r="A239">
        <v>238</v>
      </c>
      <c r="B239" t="s">
        <v>244</v>
      </c>
      <c r="C239" t="s">
        <v>46</v>
      </c>
      <c r="D239" t="s">
        <v>44</v>
      </c>
      <c r="E239" s="1">
        <v>45950</v>
      </c>
      <c r="F239">
        <v>8</v>
      </c>
    </row>
    <row r="240" spans="1:6" x14ac:dyDescent="0.35">
      <c r="A240">
        <v>239</v>
      </c>
      <c r="B240" t="s">
        <v>64</v>
      </c>
      <c r="C240" t="s">
        <v>41</v>
      </c>
      <c r="D240" t="s">
        <v>42</v>
      </c>
      <c r="E240" s="1">
        <v>46002</v>
      </c>
      <c r="F240">
        <v>6</v>
      </c>
    </row>
    <row r="241" spans="1:6" x14ac:dyDescent="0.35">
      <c r="A241">
        <v>240</v>
      </c>
      <c r="B241" t="s">
        <v>183</v>
      </c>
      <c r="C241" t="s">
        <v>46</v>
      </c>
      <c r="D241" t="s">
        <v>44</v>
      </c>
      <c r="E241" s="1">
        <v>45844</v>
      </c>
      <c r="F241">
        <v>10</v>
      </c>
    </row>
    <row r="242" spans="1:6" x14ac:dyDescent="0.35">
      <c r="A242">
        <v>241</v>
      </c>
      <c r="B242" t="s">
        <v>245</v>
      </c>
      <c r="C242" t="s">
        <v>41</v>
      </c>
      <c r="D242" t="s">
        <v>44</v>
      </c>
      <c r="E242" s="1">
        <v>45750</v>
      </c>
      <c r="F242">
        <v>5</v>
      </c>
    </row>
    <row r="243" spans="1:6" x14ac:dyDescent="0.35">
      <c r="A243">
        <v>242</v>
      </c>
      <c r="B243" t="s">
        <v>177</v>
      </c>
      <c r="C243" t="s">
        <v>46</v>
      </c>
      <c r="D243" t="s">
        <v>44</v>
      </c>
      <c r="E243" s="1">
        <v>45705</v>
      </c>
      <c r="F243">
        <v>6</v>
      </c>
    </row>
    <row r="244" spans="1:6" x14ac:dyDescent="0.35">
      <c r="A244">
        <v>243</v>
      </c>
      <c r="B244" t="s">
        <v>222</v>
      </c>
      <c r="C244" t="s">
        <v>41</v>
      </c>
      <c r="D244" t="s">
        <v>49</v>
      </c>
      <c r="E244" s="1">
        <v>45832</v>
      </c>
      <c r="F244">
        <v>4</v>
      </c>
    </row>
    <row r="245" spans="1:6" x14ac:dyDescent="0.35">
      <c r="A245">
        <v>244</v>
      </c>
      <c r="B245" t="s">
        <v>71</v>
      </c>
      <c r="C245" t="s">
        <v>46</v>
      </c>
      <c r="D245" t="s">
        <v>44</v>
      </c>
      <c r="E245" s="1">
        <v>45871</v>
      </c>
      <c r="F245">
        <v>1</v>
      </c>
    </row>
    <row r="246" spans="1:6" x14ac:dyDescent="0.35">
      <c r="A246">
        <v>245</v>
      </c>
      <c r="B246" t="s">
        <v>143</v>
      </c>
      <c r="C246" t="s">
        <v>41</v>
      </c>
      <c r="D246" t="s">
        <v>44</v>
      </c>
      <c r="E246" s="1">
        <v>45912</v>
      </c>
      <c r="F246">
        <v>3</v>
      </c>
    </row>
    <row r="247" spans="1:6" x14ac:dyDescent="0.35">
      <c r="A247">
        <v>246</v>
      </c>
      <c r="B247" t="s">
        <v>56</v>
      </c>
      <c r="C247" t="s">
        <v>46</v>
      </c>
      <c r="D247" t="s">
        <v>49</v>
      </c>
      <c r="E247" s="1">
        <v>45964</v>
      </c>
      <c r="F247">
        <v>2</v>
      </c>
    </row>
    <row r="248" spans="1:6" x14ac:dyDescent="0.35">
      <c r="A248">
        <v>247</v>
      </c>
      <c r="B248" t="s">
        <v>246</v>
      </c>
      <c r="C248" t="s">
        <v>41</v>
      </c>
      <c r="D248" t="s">
        <v>44</v>
      </c>
      <c r="E248" s="1">
        <v>45803</v>
      </c>
      <c r="F248">
        <v>8</v>
      </c>
    </row>
    <row r="249" spans="1:6" x14ac:dyDescent="0.35">
      <c r="A249">
        <v>248</v>
      </c>
      <c r="B249" t="s">
        <v>45</v>
      </c>
      <c r="C249" t="s">
        <v>46</v>
      </c>
      <c r="D249" t="s">
        <v>44</v>
      </c>
      <c r="E249" s="1">
        <v>45682</v>
      </c>
      <c r="F249">
        <v>7</v>
      </c>
    </row>
    <row r="250" spans="1:6" x14ac:dyDescent="0.35">
      <c r="A250">
        <v>249</v>
      </c>
      <c r="B250" t="s">
        <v>247</v>
      </c>
      <c r="C250" t="s">
        <v>41</v>
      </c>
      <c r="D250" t="s">
        <v>44</v>
      </c>
      <c r="E250" s="1">
        <v>45731</v>
      </c>
      <c r="F250">
        <v>9</v>
      </c>
    </row>
    <row r="251" spans="1:6" x14ac:dyDescent="0.35">
      <c r="A251">
        <v>250</v>
      </c>
      <c r="B251" t="s">
        <v>248</v>
      </c>
      <c r="C251" t="s">
        <v>46</v>
      </c>
      <c r="D251" t="s">
        <v>42</v>
      </c>
      <c r="E251" s="1">
        <v>45955</v>
      </c>
      <c r="F251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1"/>
  <sheetViews>
    <sheetView workbookViewId="0">
      <selection sqref="A1:E111"/>
    </sheetView>
  </sheetViews>
  <sheetFormatPr defaultRowHeight="14.5" x14ac:dyDescent="0.35"/>
  <cols>
    <col min="1" max="1" width="11.81640625" customWidth="1"/>
    <col min="2" max="2" width="14.90625" customWidth="1"/>
    <col min="3" max="3" width="11.90625" customWidth="1"/>
    <col min="4" max="4" width="9.36328125" customWidth="1"/>
    <col min="5" max="5" width="19.453125" bestFit="1" customWidth="1"/>
  </cols>
  <sheetData>
    <row r="1" spans="1:5" x14ac:dyDescent="0.35">
      <c r="A1" t="s">
        <v>249</v>
      </c>
      <c r="B1" t="s">
        <v>250</v>
      </c>
      <c r="C1" s="2" t="s">
        <v>251</v>
      </c>
      <c r="D1" t="s">
        <v>0</v>
      </c>
      <c r="E1" t="s">
        <v>328</v>
      </c>
    </row>
    <row r="2" spans="1:5" x14ac:dyDescent="0.35">
      <c r="A2">
        <v>1</v>
      </c>
      <c r="B2" t="s">
        <v>252</v>
      </c>
      <c r="C2" s="2">
        <v>120</v>
      </c>
      <c r="D2">
        <v>1</v>
      </c>
      <c r="E2" t="s">
        <v>253</v>
      </c>
    </row>
    <row r="3" spans="1:5" x14ac:dyDescent="0.35">
      <c r="A3">
        <v>2</v>
      </c>
      <c r="B3" t="s">
        <v>254</v>
      </c>
      <c r="C3" s="2">
        <v>130</v>
      </c>
      <c r="D3">
        <v>2</v>
      </c>
      <c r="E3" t="s">
        <v>255</v>
      </c>
    </row>
    <row r="4" spans="1:5" x14ac:dyDescent="0.35">
      <c r="A4">
        <v>3</v>
      </c>
      <c r="B4" t="s">
        <v>256</v>
      </c>
      <c r="C4" s="2">
        <v>140</v>
      </c>
      <c r="D4">
        <v>3</v>
      </c>
      <c r="E4" t="s">
        <v>257</v>
      </c>
    </row>
    <row r="5" spans="1:5" x14ac:dyDescent="0.35">
      <c r="A5">
        <v>4</v>
      </c>
      <c r="B5" t="s">
        <v>258</v>
      </c>
      <c r="C5" s="2">
        <v>150</v>
      </c>
      <c r="D5">
        <v>4</v>
      </c>
      <c r="E5" t="s">
        <v>255</v>
      </c>
    </row>
    <row r="6" spans="1:5" x14ac:dyDescent="0.35">
      <c r="A6">
        <v>5</v>
      </c>
      <c r="B6" t="s">
        <v>259</v>
      </c>
      <c r="C6" s="2">
        <v>160</v>
      </c>
      <c r="D6">
        <v>5</v>
      </c>
      <c r="E6" t="s">
        <v>255</v>
      </c>
    </row>
    <row r="7" spans="1:5" x14ac:dyDescent="0.35">
      <c r="A7">
        <v>6</v>
      </c>
      <c r="B7" t="s">
        <v>260</v>
      </c>
      <c r="C7" s="2">
        <v>170</v>
      </c>
      <c r="D7">
        <v>6</v>
      </c>
      <c r="E7" t="s">
        <v>261</v>
      </c>
    </row>
    <row r="8" spans="1:5" x14ac:dyDescent="0.35">
      <c r="A8">
        <v>7</v>
      </c>
      <c r="B8" t="s">
        <v>262</v>
      </c>
      <c r="C8" s="2">
        <v>180</v>
      </c>
      <c r="D8">
        <v>7</v>
      </c>
      <c r="E8" t="s">
        <v>263</v>
      </c>
    </row>
    <row r="9" spans="1:5" x14ac:dyDescent="0.35">
      <c r="A9">
        <v>8</v>
      </c>
      <c r="B9" t="s">
        <v>264</v>
      </c>
      <c r="C9" s="2">
        <v>190</v>
      </c>
      <c r="D9">
        <v>8</v>
      </c>
      <c r="E9" t="s">
        <v>265</v>
      </c>
    </row>
    <row r="10" spans="1:5" x14ac:dyDescent="0.35">
      <c r="A10">
        <v>9</v>
      </c>
      <c r="B10" t="s">
        <v>266</v>
      </c>
      <c r="C10" s="2">
        <v>200</v>
      </c>
      <c r="D10">
        <v>9</v>
      </c>
      <c r="E10" t="s">
        <v>267</v>
      </c>
    </row>
    <row r="11" spans="1:5" x14ac:dyDescent="0.35">
      <c r="A11">
        <v>10</v>
      </c>
      <c r="B11" t="s">
        <v>268</v>
      </c>
      <c r="C11" s="2">
        <v>210</v>
      </c>
      <c r="D11">
        <v>10</v>
      </c>
      <c r="E11" t="s">
        <v>255</v>
      </c>
    </row>
    <row r="12" spans="1:5" x14ac:dyDescent="0.35">
      <c r="A12">
        <v>11</v>
      </c>
      <c r="B12" t="s">
        <v>269</v>
      </c>
      <c r="C12" s="2">
        <v>120</v>
      </c>
      <c r="D12">
        <v>1</v>
      </c>
      <c r="E12" t="s">
        <v>270</v>
      </c>
    </row>
    <row r="13" spans="1:5" x14ac:dyDescent="0.35">
      <c r="A13">
        <v>12</v>
      </c>
      <c r="B13" t="s">
        <v>271</v>
      </c>
      <c r="C13" s="2">
        <v>130</v>
      </c>
      <c r="D13">
        <v>2</v>
      </c>
      <c r="E13" t="s">
        <v>272</v>
      </c>
    </row>
    <row r="14" spans="1:5" x14ac:dyDescent="0.35">
      <c r="A14">
        <v>13</v>
      </c>
      <c r="B14" t="s">
        <v>273</v>
      </c>
      <c r="C14" s="2">
        <v>140</v>
      </c>
      <c r="D14">
        <v>3</v>
      </c>
      <c r="E14" t="s">
        <v>274</v>
      </c>
    </row>
    <row r="15" spans="1:5" x14ac:dyDescent="0.35">
      <c r="A15">
        <v>14</v>
      </c>
      <c r="B15" t="s">
        <v>275</v>
      </c>
      <c r="C15" s="2">
        <v>150</v>
      </c>
      <c r="D15">
        <v>4</v>
      </c>
      <c r="E15" t="s">
        <v>255</v>
      </c>
    </row>
    <row r="16" spans="1:5" x14ac:dyDescent="0.35">
      <c r="A16">
        <v>15</v>
      </c>
      <c r="B16" t="s">
        <v>276</v>
      </c>
      <c r="C16" s="2">
        <v>160</v>
      </c>
      <c r="D16">
        <v>5</v>
      </c>
      <c r="E16" t="s">
        <v>277</v>
      </c>
    </row>
    <row r="17" spans="1:5" x14ac:dyDescent="0.35">
      <c r="A17">
        <v>16</v>
      </c>
      <c r="B17" t="s">
        <v>278</v>
      </c>
      <c r="C17" s="2">
        <v>170</v>
      </c>
      <c r="D17">
        <v>6</v>
      </c>
      <c r="E17" t="s">
        <v>279</v>
      </c>
    </row>
    <row r="18" spans="1:5" x14ac:dyDescent="0.35">
      <c r="A18">
        <v>17</v>
      </c>
      <c r="B18" t="s">
        <v>280</v>
      </c>
      <c r="C18" s="2">
        <v>180</v>
      </c>
      <c r="D18">
        <v>7</v>
      </c>
      <c r="E18" t="s">
        <v>281</v>
      </c>
    </row>
    <row r="19" spans="1:5" x14ac:dyDescent="0.35">
      <c r="A19">
        <v>18</v>
      </c>
      <c r="B19" t="s">
        <v>282</v>
      </c>
      <c r="C19" s="2">
        <v>190</v>
      </c>
      <c r="D19">
        <v>8</v>
      </c>
      <c r="E19" t="s">
        <v>255</v>
      </c>
    </row>
    <row r="20" spans="1:5" x14ac:dyDescent="0.35">
      <c r="A20">
        <v>19</v>
      </c>
      <c r="B20" t="s">
        <v>283</v>
      </c>
      <c r="C20" s="2">
        <v>200</v>
      </c>
      <c r="D20">
        <v>9</v>
      </c>
      <c r="E20" t="s">
        <v>284</v>
      </c>
    </row>
    <row r="21" spans="1:5" x14ac:dyDescent="0.35">
      <c r="A21">
        <v>20</v>
      </c>
      <c r="B21" t="s">
        <v>285</v>
      </c>
      <c r="C21" s="2">
        <v>210</v>
      </c>
      <c r="D21">
        <v>10</v>
      </c>
      <c r="E21" t="s">
        <v>286</v>
      </c>
    </row>
    <row r="22" spans="1:5" x14ac:dyDescent="0.35">
      <c r="A22">
        <v>21</v>
      </c>
      <c r="B22" t="s">
        <v>287</v>
      </c>
      <c r="C22" s="2">
        <v>120</v>
      </c>
      <c r="D22">
        <v>1</v>
      </c>
      <c r="E22" t="s">
        <v>255</v>
      </c>
    </row>
    <row r="23" spans="1:5" x14ac:dyDescent="0.35">
      <c r="A23">
        <v>22</v>
      </c>
      <c r="B23" t="s">
        <v>288</v>
      </c>
      <c r="C23" s="2">
        <v>130</v>
      </c>
      <c r="D23">
        <v>2</v>
      </c>
      <c r="E23" t="s">
        <v>289</v>
      </c>
    </row>
    <row r="24" spans="1:5" x14ac:dyDescent="0.35">
      <c r="A24">
        <v>23</v>
      </c>
      <c r="B24" t="s">
        <v>290</v>
      </c>
      <c r="C24" s="2">
        <v>140</v>
      </c>
      <c r="D24">
        <v>3</v>
      </c>
      <c r="E24" t="s">
        <v>291</v>
      </c>
    </row>
    <row r="25" spans="1:5" x14ac:dyDescent="0.35">
      <c r="A25">
        <v>24</v>
      </c>
      <c r="B25" t="s">
        <v>292</v>
      </c>
      <c r="C25" s="2">
        <v>150</v>
      </c>
      <c r="D25">
        <v>4</v>
      </c>
      <c r="E25" t="s">
        <v>293</v>
      </c>
    </row>
    <row r="26" spans="1:5" x14ac:dyDescent="0.35">
      <c r="A26">
        <v>25</v>
      </c>
      <c r="B26" t="s">
        <v>294</v>
      </c>
      <c r="C26" s="2">
        <v>160</v>
      </c>
      <c r="D26">
        <v>5</v>
      </c>
      <c r="E26" t="s">
        <v>255</v>
      </c>
    </row>
    <row r="27" spans="1:5" x14ac:dyDescent="0.35">
      <c r="A27">
        <v>26</v>
      </c>
      <c r="B27" t="s">
        <v>295</v>
      </c>
      <c r="C27" s="2">
        <v>170</v>
      </c>
      <c r="D27">
        <v>6</v>
      </c>
      <c r="E27" t="s">
        <v>296</v>
      </c>
    </row>
    <row r="28" spans="1:5" x14ac:dyDescent="0.35">
      <c r="A28">
        <v>27</v>
      </c>
      <c r="B28" t="s">
        <v>297</v>
      </c>
      <c r="C28" s="2">
        <v>180</v>
      </c>
      <c r="D28">
        <v>7</v>
      </c>
      <c r="E28" t="s">
        <v>265</v>
      </c>
    </row>
    <row r="29" spans="1:5" x14ac:dyDescent="0.35">
      <c r="A29">
        <v>28</v>
      </c>
      <c r="B29" t="s">
        <v>298</v>
      </c>
      <c r="C29" s="2">
        <v>190</v>
      </c>
      <c r="D29">
        <v>8</v>
      </c>
      <c r="E29" t="s">
        <v>253</v>
      </c>
    </row>
    <row r="30" spans="1:5" x14ac:dyDescent="0.35">
      <c r="A30">
        <v>29</v>
      </c>
      <c r="B30" t="s">
        <v>299</v>
      </c>
      <c r="C30" s="2">
        <v>200</v>
      </c>
      <c r="D30">
        <v>9</v>
      </c>
      <c r="E30" t="s">
        <v>255</v>
      </c>
    </row>
    <row r="31" spans="1:5" x14ac:dyDescent="0.35">
      <c r="A31">
        <v>30</v>
      </c>
      <c r="B31" t="s">
        <v>300</v>
      </c>
      <c r="C31" s="2">
        <v>210</v>
      </c>
      <c r="D31">
        <v>10</v>
      </c>
      <c r="E31" t="s">
        <v>301</v>
      </c>
    </row>
    <row r="32" spans="1:5" x14ac:dyDescent="0.35">
      <c r="A32">
        <v>31</v>
      </c>
      <c r="B32" t="s">
        <v>302</v>
      </c>
      <c r="C32" s="2">
        <v>120</v>
      </c>
      <c r="D32">
        <v>1</v>
      </c>
      <c r="E32" t="s">
        <v>255</v>
      </c>
    </row>
    <row r="33" spans="1:5" x14ac:dyDescent="0.35">
      <c r="A33">
        <v>32</v>
      </c>
      <c r="B33" t="s">
        <v>303</v>
      </c>
      <c r="C33" s="2">
        <v>130</v>
      </c>
      <c r="D33">
        <v>2</v>
      </c>
      <c r="E33" t="s">
        <v>304</v>
      </c>
    </row>
    <row r="34" spans="1:5" x14ac:dyDescent="0.35">
      <c r="A34">
        <v>33</v>
      </c>
      <c r="B34" t="s">
        <v>256</v>
      </c>
      <c r="C34" s="2">
        <v>140</v>
      </c>
      <c r="D34">
        <v>3</v>
      </c>
      <c r="E34" t="s">
        <v>305</v>
      </c>
    </row>
    <row r="35" spans="1:5" x14ac:dyDescent="0.35">
      <c r="A35">
        <v>34</v>
      </c>
      <c r="B35" t="s">
        <v>306</v>
      </c>
      <c r="C35" s="2">
        <v>150</v>
      </c>
      <c r="D35">
        <v>4</v>
      </c>
      <c r="E35" t="s">
        <v>307</v>
      </c>
    </row>
    <row r="36" spans="1:5" x14ac:dyDescent="0.35">
      <c r="A36">
        <v>35</v>
      </c>
      <c r="B36" t="s">
        <v>259</v>
      </c>
      <c r="C36" s="2">
        <v>160</v>
      </c>
      <c r="D36">
        <v>5</v>
      </c>
      <c r="E36" t="s">
        <v>255</v>
      </c>
    </row>
    <row r="37" spans="1:5" x14ac:dyDescent="0.35">
      <c r="A37">
        <v>36</v>
      </c>
      <c r="B37" t="s">
        <v>260</v>
      </c>
      <c r="C37" s="2">
        <v>170</v>
      </c>
      <c r="D37">
        <v>6</v>
      </c>
      <c r="E37" t="s">
        <v>308</v>
      </c>
    </row>
    <row r="38" spans="1:5" x14ac:dyDescent="0.35">
      <c r="A38">
        <v>37</v>
      </c>
      <c r="B38" t="s">
        <v>262</v>
      </c>
      <c r="C38" s="2">
        <v>180</v>
      </c>
      <c r="D38">
        <v>7</v>
      </c>
      <c r="E38" t="s">
        <v>270</v>
      </c>
    </row>
    <row r="39" spans="1:5" x14ac:dyDescent="0.35">
      <c r="A39">
        <v>38</v>
      </c>
      <c r="B39" t="s">
        <v>264</v>
      </c>
      <c r="C39" s="2">
        <v>190</v>
      </c>
      <c r="D39">
        <v>8</v>
      </c>
      <c r="E39" t="s">
        <v>255</v>
      </c>
    </row>
    <row r="40" spans="1:5" x14ac:dyDescent="0.35">
      <c r="A40">
        <v>39</v>
      </c>
      <c r="B40" t="s">
        <v>266</v>
      </c>
      <c r="C40" s="2">
        <v>200</v>
      </c>
      <c r="D40">
        <v>9</v>
      </c>
      <c r="E40" t="s">
        <v>309</v>
      </c>
    </row>
    <row r="41" spans="1:5" x14ac:dyDescent="0.35">
      <c r="A41">
        <v>40</v>
      </c>
      <c r="B41" t="s">
        <v>268</v>
      </c>
      <c r="C41" s="2">
        <v>210</v>
      </c>
      <c r="D41">
        <v>10</v>
      </c>
      <c r="E41" t="s">
        <v>310</v>
      </c>
    </row>
    <row r="42" spans="1:5" x14ac:dyDescent="0.35">
      <c r="A42">
        <v>41</v>
      </c>
      <c r="B42" t="s">
        <v>269</v>
      </c>
      <c r="C42" s="2">
        <v>120</v>
      </c>
      <c r="D42">
        <v>1</v>
      </c>
      <c r="E42" t="s">
        <v>311</v>
      </c>
    </row>
    <row r="43" spans="1:5" x14ac:dyDescent="0.35">
      <c r="A43">
        <v>42</v>
      </c>
      <c r="B43" t="s">
        <v>271</v>
      </c>
      <c r="C43" s="2">
        <v>130</v>
      </c>
      <c r="D43">
        <v>2</v>
      </c>
      <c r="E43" t="s">
        <v>255</v>
      </c>
    </row>
    <row r="44" spans="1:5" x14ac:dyDescent="0.35">
      <c r="A44">
        <v>43</v>
      </c>
      <c r="B44" t="s">
        <v>273</v>
      </c>
      <c r="C44" s="2">
        <v>140</v>
      </c>
      <c r="D44">
        <v>3</v>
      </c>
      <c r="E44" t="s">
        <v>312</v>
      </c>
    </row>
    <row r="45" spans="1:5" x14ac:dyDescent="0.35">
      <c r="A45">
        <v>44</v>
      </c>
      <c r="B45" t="s">
        <v>275</v>
      </c>
      <c r="C45" s="2">
        <v>150</v>
      </c>
      <c r="D45">
        <v>4</v>
      </c>
      <c r="E45" t="s">
        <v>263</v>
      </c>
    </row>
    <row r="46" spans="1:5" x14ac:dyDescent="0.35">
      <c r="A46">
        <v>45</v>
      </c>
      <c r="B46" t="s">
        <v>276</v>
      </c>
      <c r="C46" s="2">
        <v>160</v>
      </c>
      <c r="D46">
        <v>5</v>
      </c>
      <c r="E46" t="s">
        <v>255</v>
      </c>
    </row>
    <row r="47" spans="1:5" x14ac:dyDescent="0.35">
      <c r="A47">
        <v>46</v>
      </c>
      <c r="B47" t="s">
        <v>278</v>
      </c>
      <c r="C47" s="2">
        <v>170</v>
      </c>
      <c r="D47">
        <v>6</v>
      </c>
      <c r="E47" t="s">
        <v>284</v>
      </c>
    </row>
    <row r="48" spans="1:5" x14ac:dyDescent="0.35">
      <c r="A48">
        <v>47</v>
      </c>
      <c r="B48" t="s">
        <v>280</v>
      </c>
      <c r="C48" s="2">
        <v>180</v>
      </c>
      <c r="D48">
        <v>7</v>
      </c>
      <c r="E48" t="s">
        <v>313</v>
      </c>
    </row>
    <row r="49" spans="1:5" x14ac:dyDescent="0.35">
      <c r="A49">
        <v>48</v>
      </c>
      <c r="B49" t="s">
        <v>282</v>
      </c>
      <c r="C49" s="2">
        <v>190</v>
      </c>
      <c r="D49">
        <v>8</v>
      </c>
      <c r="E49" t="s">
        <v>265</v>
      </c>
    </row>
    <row r="50" spans="1:5" x14ac:dyDescent="0.35">
      <c r="A50">
        <v>49</v>
      </c>
      <c r="B50" t="s">
        <v>283</v>
      </c>
      <c r="C50" s="2">
        <v>200</v>
      </c>
      <c r="D50">
        <v>9</v>
      </c>
      <c r="E50" t="s">
        <v>255</v>
      </c>
    </row>
    <row r="51" spans="1:5" x14ac:dyDescent="0.35">
      <c r="A51">
        <v>50</v>
      </c>
      <c r="B51" t="s">
        <v>285</v>
      </c>
      <c r="C51" s="2">
        <v>210</v>
      </c>
      <c r="D51">
        <v>10</v>
      </c>
      <c r="E51" t="s">
        <v>267</v>
      </c>
    </row>
    <row r="52" spans="1:5" x14ac:dyDescent="0.35">
      <c r="A52">
        <v>51</v>
      </c>
      <c r="B52" t="s">
        <v>287</v>
      </c>
      <c r="C52" s="2">
        <v>120</v>
      </c>
      <c r="D52">
        <v>1</v>
      </c>
      <c r="E52" t="s">
        <v>253</v>
      </c>
    </row>
    <row r="53" spans="1:5" x14ac:dyDescent="0.35">
      <c r="A53">
        <v>52</v>
      </c>
      <c r="B53" t="s">
        <v>288</v>
      </c>
      <c r="C53" s="2">
        <v>130</v>
      </c>
      <c r="D53">
        <v>2</v>
      </c>
      <c r="E53" t="s">
        <v>255</v>
      </c>
    </row>
    <row r="54" spans="1:5" x14ac:dyDescent="0.35">
      <c r="A54">
        <v>53</v>
      </c>
      <c r="B54" t="s">
        <v>290</v>
      </c>
      <c r="C54" s="2">
        <v>140</v>
      </c>
      <c r="D54">
        <v>3</v>
      </c>
      <c r="E54" t="s">
        <v>257</v>
      </c>
    </row>
    <row r="55" spans="1:5" x14ac:dyDescent="0.35">
      <c r="A55">
        <v>54</v>
      </c>
      <c r="B55" t="s">
        <v>314</v>
      </c>
      <c r="C55" s="2">
        <v>150</v>
      </c>
      <c r="D55">
        <v>4</v>
      </c>
      <c r="E55" t="s">
        <v>255</v>
      </c>
    </row>
    <row r="56" spans="1:5" x14ac:dyDescent="0.35">
      <c r="A56">
        <v>55</v>
      </c>
      <c r="B56" t="s">
        <v>294</v>
      </c>
      <c r="C56" s="2">
        <v>160</v>
      </c>
      <c r="D56">
        <v>5</v>
      </c>
      <c r="E56" t="s">
        <v>255</v>
      </c>
    </row>
    <row r="57" spans="1:5" x14ac:dyDescent="0.35">
      <c r="A57">
        <v>56</v>
      </c>
      <c r="B57" t="s">
        <v>295</v>
      </c>
      <c r="C57" s="2">
        <v>170</v>
      </c>
      <c r="D57">
        <v>6</v>
      </c>
      <c r="E57" t="s">
        <v>261</v>
      </c>
    </row>
    <row r="58" spans="1:5" x14ac:dyDescent="0.35">
      <c r="A58">
        <v>57</v>
      </c>
      <c r="B58" t="s">
        <v>297</v>
      </c>
      <c r="C58" s="2">
        <v>180</v>
      </c>
      <c r="D58">
        <v>7</v>
      </c>
      <c r="E58" t="s">
        <v>263</v>
      </c>
    </row>
    <row r="59" spans="1:5" x14ac:dyDescent="0.35">
      <c r="A59">
        <v>58</v>
      </c>
      <c r="B59" t="s">
        <v>298</v>
      </c>
      <c r="C59" s="2">
        <v>190</v>
      </c>
      <c r="D59">
        <v>8</v>
      </c>
      <c r="E59" t="s">
        <v>265</v>
      </c>
    </row>
    <row r="60" spans="1:5" x14ac:dyDescent="0.35">
      <c r="A60">
        <v>59</v>
      </c>
      <c r="B60" t="s">
        <v>299</v>
      </c>
      <c r="C60" s="2">
        <v>200</v>
      </c>
      <c r="D60">
        <v>9</v>
      </c>
      <c r="E60" t="s">
        <v>274</v>
      </c>
    </row>
    <row r="61" spans="1:5" x14ac:dyDescent="0.35">
      <c r="A61">
        <v>60</v>
      </c>
      <c r="B61" t="s">
        <v>300</v>
      </c>
      <c r="C61" s="2">
        <v>210</v>
      </c>
      <c r="D61">
        <v>10</v>
      </c>
      <c r="E61" t="s">
        <v>255</v>
      </c>
    </row>
    <row r="62" spans="1:5" x14ac:dyDescent="0.35">
      <c r="A62">
        <v>61</v>
      </c>
      <c r="B62" t="s">
        <v>302</v>
      </c>
      <c r="C62" s="2">
        <v>120</v>
      </c>
      <c r="D62">
        <v>1</v>
      </c>
      <c r="E62" t="s">
        <v>270</v>
      </c>
    </row>
    <row r="63" spans="1:5" x14ac:dyDescent="0.35">
      <c r="A63">
        <v>62</v>
      </c>
      <c r="B63" t="s">
        <v>303</v>
      </c>
      <c r="C63" s="2">
        <v>130</v>
      </c>
      <c r="D63">
        <v>2</v>
      </c>
      <c r="E63" t="s">
        <v>272</v>
      </c>
    </row>
    <row r="64" spans="1:5" x14ac:dyDescent="0.35">
      <c r="A64">
        <v>63</v>
      </c>
      <c r="B64" t="s">
        <v>256</v>
      </c>
      <c r="C64" s="2">
        <v>140</v>
      </c>
      <c r="D64">
        <v>3</v>
      </c>
      <c r="E64" t="s">
        <v>274</v>
      </c>
    </row>
    <row r="65" spans="1:5" x14ac:dyDescent="0.35">
      <c r="A65">
        <v>64</v>
      </c>
      <c r="B65" t="s">
        <v>306</v>
      </c>
      <c r="C65" s="2">
        <v>150</v>
      </c>
      <c r="D65">
        <v>4</v>
      </c>
      <c r="E65" t="s">
        <v>255</v>
      </c>
    </row>
    <row r="66" spans="1:5" x14ac:dyDescent="0.35">
      <c r="A66">
        <v>65</v>
      </c>
      <c r="B66" t="s">
        <v>259</v>
      </c>
      <c r="C66" s="2">
        <v>160</v>
      </c>
      <c r="D66">
        <v>5</v>
      </c>
      <c r="E66" t="s">
        <v>277</v>
      </c>
    </row>
    <row r="67" spans="1:5" x14ac:dyDescent="0.35">
      <c r="A67">
        <v>66</v>
      </c>
      <c r="B67" t="s">
        <v>260</v>
      </c>
      <c r="C67" s="2">
        <v>170</v>
      </c>
      <c r="D67">
        <v>6</v>
      </c>
      <c r="E67" t="s">
        <v>279</v>
      </c>
    </row>
    <row r="68" spans="1:5" x14ac:dyDescent="0.35">
      <c r="A68">
        <v>67</v>
      </c>
      <c r="B68" t="s">
        <v>262</v>
      </c>
      <c r="C68" s="2">
        <v>180</v>
      </c>
      <c r="D68">
        <v>7</v>
      </c>
      <c r="E68" t="s">
        <v>281</v>
      </c>
    </row>
    <row r="69" spans="1:5" x14ac:dyDescent="0.35">
      <c r="A69">
        <v>68</v>
      </c>
      <c r="B69" t="s">
        <v>264</v>
      </c>
      <c r="C69" s="2">
        <v>190</v>
      </c>
      <c r="D69">
        <v>8</v>
      </c>
      <c r="E69" t="s">
        <v>255</v>
      </c>
    </row>
    <row r="70" spans="1:5" x14ac:dyDescent="0.35">
      <c r="A70">
        <v>69</v>
      </c>
      <c r="B70" t="s">
        <v>266</v>
      </c>
      <c r="C70" s="2">
        <v>200</v>
      </c>
      <c r="D70">
        <v>9</v>
      </c>
      <c r="E70" t="s">
        <v>284</v>
      </c>
    </row>
    <row r="71" spans="1:5" x14ac:dyDescent="0.35">
      <c r="A71">
        <v>70</v>
      </c>
      <c r="B71" t="s">
        <v>268</v>
      </c>
      <c r="C71" s="2">
        <v>210</v>
      </c>
      <c r="D71">
        <v>10</v>
      </c>
      <c r="E71" t="s">
        <v>286</v>
      </c>
    </row>
    <row r="72" spans="1:5" x14ac:dyDescent="0.35">
      <c r="A72">
        <v>71</v>
      </c>
      <c r="B72" t="s">
        <v>269</v>
      </c>
      <c r="C72" s="2">
        <v>120</v>
      </c>
      <c r="D72">
        <v>1</v>
      </c>
      <c r="E72" t="s">
        <v>255</v>
      </c>
    </row>
    <row r="73" spans="1:5" x14ac:dyDescent="0.35">
      <c r="A73">
        <v>72</v>
      </c>
      <c r="B73" t="s">
        <v>271</v>
      </c>
      <c r="C73" s="2">
        <v>130</v>
      </c>
      <c r="D73">
        <v>2</v>
      </c>
      <c r="E73" t="s">
        <v>289</v>
      </c>
    </row>
    <row r="74" spans="1:5" x14ac:dyDescent="0.35">
      <c r="A74">
        <v>73</v>
      </c>
      <c r="B74" t="s">
        <v>273</v>
      </c>
      <c r="C74" s="2">
        <v>140</v>
      </c>
      <c r="D74">
        <v>3</v>
      </c>
      <c r="E74" t="s">
        <v>291</v>
      </c>
    </row>
    <row r="75" spans="1:5" x14ac:dyDescent="0.35">
      <c r="A75">
        <v>74</v>
      </c>
      <c r="B75" t="s">
        <v>275</v>
      </c>
      <c r="C75" s="2">
        <v>150</v>
      </c>
      <c r="D75">
        <v>4</v>
      </c>
      <c r="E75" t="s">
        <v>293</v>
      </c>
    </row>
    <row r="76" spans="1:5" x14ac:dyDescent="0.35">
      <c r="A76">
        <v>75</v>
      </c>
      <c r="B76" t="s">
        <v>276</v>
      </c>
      <c r="C76" s="2">
        <v>160</v>
      </c>
      <c r="D76">
        <v>5</v>
      </c>
      <c r="E76" t="s">
        <v>255</v>
      </c>
    </row>
    <row r="77" spans="1:5" x14ac:dyDescent="0.35">
      <c r="A77">
        <v>76</v>
      </c>
      <c r="B77" t="s">
        <v>278</v>
      </c>
      <c r="C77" s="2">
        <v>170</v>
      </c>
      <c r="D77">
        <v>6</v>
      </c>
      <c r="E77" t="s">
        <v>296</v>
      </c>
    </row>
    <row r="78" spans="1:5" x14ac:dyDescent="0.35">
      <c r="A78">
        <v>77</v>
      </c>
      <c r="B78" t="s">
        <v>280</v>
      </c>
      <c r="C78" s="2">
        <v>180</v>
      </c>
      <c r="D78">
        <v>7</v>
      </c>
      <c r="E78" t="s">
        <v>265</v>
      </c>
    </row>
    <row r="79" spans="1:5" x14ac:dyDescent="0.35">
      <c r="A79">
        <v>78</v>
      </c>
      <c r="B79" t="s">
        <v>282</v>
      </c>
      <c r="C79" s="2">
        <v>190</v>
      </c>
      <c r="D79">
        <v>8</v>
      </c>
      <c r="E79" t="s">
        <v>253</v>
      </c>
    </row>
    <row r="80" spans="1:5" x14ac:dyDescent="0.35">
      <c r="A80">
        <v>79</v>
      </c>
      <c r="B80" t="s">
        <v>283</v>
      </c>
      <c r="C80" s="2">
        <v>200</v>
      </c>
      <c r="D80">
        <v>9</v>
      </c>
      <c r="E80" t="s">
        <v>255</v>
      </c>
    </row>
    <row r="81" spans="1:5" x14ac:dyDescent="0.35">
      <c r="A81">
        <v>80</v>
      </c>
      <c r="B81" t="s">
        <v>285</v>
      </c>
      <c r="C81" s="2">
        <v>210</v>
      </c>
      <c r="D81">
        <v>10</v>
      </c>
      <c r="E81" t="s">
        <v>301</v>
      </c>
    </row>
    <row r="82" spans="1:5" x14ac:dyDescent="0.35">
      <c r="A82">
        <v>81</v>
      </c>
      <c r="B82" t="s">
        <v>287</v>
      </c>
      <c r="C82" s="2">
        <v>120</v>
      </c>
      <c r="D82">
        <v>1</v>
      </c>
      <c r="E82" t="s">
        <v>255</v>
      </c>
    </row>
    <row r="83" spans="1:5" x14ac:dyDescent="0.35">
      <c r="A83">
        <v>82</v>
      </c>
      <c r="B83" t="s">
        <v>288</v>
      </c>
      <c r="C83" s="2">
        <v>130</v>
      </c>
      <c r="D83">
        <v>2</v>
      </c>
      <c r="E83" t="s">
        <v>304</v>
      </c>
    </row>
    <row r="84" spans="1:5" x14ac:dyDescent="0.35">
      <c r="A84">
        <v>83</v>
      </c>
      <c r="B84" t="s">
        <v>290</v>
      </c>
      <c r="C84" s="2">
        <v>140</v>
      </c>
      <c r="D84">
        <v>3</v>
      </c>
      <c r="E84" t="s">
        <v>305</v>
      </c>
    </row>
    <row r="85" spans="1:5" x14ac:dyDescent="0.35">
      <c r="A85">
        <v>84</v>
      </c>
      <c r="B85" t="s">
        <v>292</v>
      </c>
      <c r="C85" s="2">
        <v>150</v>
      </c>
      <c r="D85">
        <v>4</v>
      </c>
      <c r="E85" t="s">
        <v>307</v>
      </c>
    </row>
    <row r="86" spans="1:5" x14ac:dyDescent="0.35">
      <c r="A86">
        <v>85</v>
      </c>
      <c r="B86" t="s">
        <v>294</v>
      </c>
      <c r="C86" s="2">
        <v>160</v>
      </c>
      <c r="D86">
        <v>5</v>
      </c>
      <c r="E86" t="s">
        <v>255</v>
      </c>
    </row>
    <row r="87" spans="1:5" x14ac:dyDescent="0.35">
      <c r="A87">
        <v>86</v>
      </c>
      <c r="B87" t="s">
        <v>295</v>
      </c>
      <c r="C87" s="2">
        <v>170</v>
      </c>
      <c r="D87">
        <v>6</v>
      </c>
      <c r="E87" t="s">
        <v>308</v>
      </c>
    </row>
    <row r="88" spans="1:5" x14ac:dyDescent="0.35">
      <c r="A88">
        <v>87</v>
      </c>
      <c r="B88" t="s">
        <v>297</v>
      </c>
      <c r="C88" s="2">
        <v>180</v>
      </c>
      <c r="D88">
        <v>7</v>
      </c>
      <c r="E88" t="s">
        <v>270</v>
      </c>
    </row>
    <row r="89" spans="1:5" x14ac:dyDescent="0.35">
      <c r="A89">
        <v>88</v>
      </c>
      <c r="B89" t="s">
        <v>298</v>
      </c>
      <c r="C89" s="2">
        <v>190</v>
      </c>
      <c r="D89">
        <v>8</v>
      </c>
      <c r="E89" t="s">
        <v>255</v>
      </c>
    </row>
    <row r="90" spans="1:5" x14ac:dyDescent="0.35">
      <c r="A90">
        <v>89</v>
      </c>
      <c r="B90" t="s">
        <v>299</v>
      </c>
      <c r="C90" s="2">
        <v>200</v>
      </c>
      <c r="D90">
        <v>9</v>
      </c>
      <c r="E90" t="s">
        <v>309</v>
      </c>
    </row>
    <row r="91" spans="1:5" x14ac:dyDescent="0.35">
      <c r="A91">
        <v>90</v>
      </c>
      <c r="B91" t="s">
        <v>300</v>
      </c>
      <c r="C91" s="2">
        <v>210</v>
      </c>
      <c r="D91">
        <v>10</v>
      </c>
      <c r="E91" t="s">
        <v>310</v>
      </c>
    </row>
    <row r="92" spans="1:5" x14ac:dyDescent="0.35">
      <c r="A92">
        <v>91</v>
      </c>
      <c r="B92" t="s">
        <v>302</v>
      </c>
      <c r="C92" s="2">
        <v>120</v>
      </c>
      <c r="D92">
        <v>1</v>
      </c>
      <c r="E92" t="s">
        <v>311</v>
      </c>
    </row>
    <row r="93" spans="1:5" x14ac:dyDescent="0.35">
      <c r="A93">
        <v>92</v>
      </c>
      <c r="B93" t="s">
        <v>303</v>
      </c>
      <c r="C93" s="2">
        <v>130</v>
      </c>
      <c r="D93">
        <v>2</v>
      </c>
      <c r="E93" t="s">
        <v>255</v>
      </c>
    </row>
    <row r="94" spans="1:5" x14ac:dyDescent="0.35">
      <c r="A94">
        <v>93</v>
      </c>
      <c r="B94" t="s">
        <v>256</v>
      </c>
      <c r="C94" s="2">
        <v>140</v>
      </c>
      <c r="D94">
        <v>3</v>
      </c>
      <c r="E94" t="s">
        <v>312</v>
      </c>
    </row>
    <row r="95" spans="1:5" x14ac:dyDescent="0.35">
      <c r="A95">
        <v>94</v>
      </c>
      <c r="B95" t="s">
        <v>306</v>
      </c>
      <c r="C95" s="2">
        <v>150</v>
      </c>
      <c r="D95">
        <v>4</v>
      </c>
      <c r="E95" t="s">
        <v>263</v>
      </c>
    </row>
    <row r="96" spans="1:5" x14ac:dyDescent="0.35">
      <c r="A96">
        <v>95</v>
      </c>
      <c r="B96" t="s">
        <v>259</v>
      </c>
      <c r="C96" s="2">
        <v>160</v>
      </c>
      <c r="D96">
        <v>5</v>
      </c>
      <c r="E96" t="s">
        <v>255</v>
      </c>
    </row>
    <row r="97" spans="1:5" x14ac:dyDescent="0.35">
      <c r="A97">
        <v>96</v>
      </c>
      <c r="B97" t="s">
        <v>260</v>
      </c>
      <c r="C97" s="2">
        <v>170</v>
      </c>
      <c r="D97">
        <v>6</v>
      </c>
      <c r="E97" t="s">
        <v>284</v>
      </c>
    </row>
    <row r="98" spans="1:5" x14ac:dyDescent="0.35">
      <c r="A98">
        <v>97</v>
      </c>
      <c r="B98" t="s">
        <v>262</v>
      </c>
      <c r="C98" s="2">
        <v>180</v>
      </c>
      <c r="D98">
        <v>7</v>
      </c>
      <c r="E98" t="s">
        <v>313</v>
      </c>
    </row>
    <row r="99" spans="1:5" x14ac:dyDescent="0.35">
      <c r="A99">
        <v>98</v>
      </c>
      <c r="B99" t="s">
        <v>264</v>
      </c>
      <c r="C99" s="2">
        <v>190</v>
      </c>
      <c r="D99">
        <v>8</v>
      </c>
      <c r="E99" t="s">
        <v>265</v>
      </c>
    </row>
    <row r="100" spans="1:5" x14ac:dyDescent="0.35">
      <c r="A100">
        <v>99</v>
      </c>
      <c r="B100" t="s">
        <v>266</v>
      </c>
      <c r="C100" s="2">
        <v>200</v>
      </c>
      <c r="D100">
        <v>9</v>
      </c>
      <c r="E100" t="s">
        <v>255</v>
      </c>
    </row>
    <row r="101" spans="1:5" x14ac:dyDescent="0.35">
      <c r="A101">
        <v>100</v>
      </c>
      <c r="B101" t="s">
        <v>268</v>
      </c>
      <c r="C101" s="2">
        <v>210</v>
      </c>
      <c r="D101">
        <v>10</v>
      </c>
      <c r="E101" t="s">
        <v>267</v>
      </c>
    </row>
    <row r="102" spans="1:5" x14ac:dyDescent="0.35">
      <c r="A102">
        <v>101</v>
      </c>
      <c r="B102" t="s">
        <v>269</v>
      </c>
      <c r="C102" s="2">
        <v>120</v>
      </c>
      <c r="D102">
        <v>1</v>
      </c>
      <c r="E102" t="s">
        <v>253</v>
      </c>
    </row>
    <row r="103" spans="1:5" x14ac:dyDescent="0.35">
      <c r="A103">
        <v>102</v>
      </c>
      <c r="B103" t="s">
        <v>271</v>
      </c>
      <c r="C103" s="2">
        <v>130</v>
      </c>
      <c r="D103">
        <v>2</v>
      </c>
      <c r="E103" t="s">
        <v>255</v>
      </c>
    </row>
    <row r="104" spans="1:5" x14ac:dyDescent="0.35">
      <c r="A104">
        <v>103</v>
      </c>
      <c r="B104" t="s">
        <v>273</v>
      </c>
      <c r="C104" s="2">
        <v>140</v>
      </c>
      <c r="D104">
        <v>3</v>
      </c>
      <c r="E104" t="s">
        <v>257</v>
      </c>
    </row>
    <row r="105" spans="1:5" x14ac:dyDescent="0.35">
      <c r="A105">
        <v>104</v>
      </c>
      <c r="B105" t="s">
        <v>275</v>
      </c>
      <c r="C105" s="2">
        <v>150</v>
      </c>
      <c r="D105">
        <v>4</v>
      </c>
      <c r="E105" t="s">
        <v>255</v>
      </c>
    </row>
    <row r="106" spans="1:5" x14ac:dyDescent="0.35">
      <c r="A106">
        <v>105</v>
      </c>
      <c r="B106" t="s">
        <v>276</v>
      </c>
      <c r="C106" s="2">
        <v>160</v>
      </c>
      <c r="D106">
        <v>5</v>
      </c>
      <c r="E106" t="s">
        <v>255</v>
      </c>
    </row>
    <row r="107" spans="1:5" x14ac:dyDescent="0.35">
      <c r="A107">
        <v>106</v>
      </c>
      <c r="B107" t="s">
        <v>278</v>
      </c>
      <c r="C107" s="2">
        <v>170</v>
      </c>
      <c r="D107">
        <v>6</v>
      </c>
      <c r="E107" t="s">
        <v>261</v>
      </c>
    </row>
    <row r="108" spans="1:5" x14ac:dyDescent="0.35">
      <c r="A108">
        <v>107</v>
      </c>
      <c r="B108" t="s">
        <v>280</v>
      </c>
      <c r="C108" s="2">
        <v>180</v>
      </c>
      <c r="D108">
        <v>7</v>
      </c>
      <c r="E108" t="s">
        <v>263</v>
      </c>
    </row>
    <row r="109" spans="1:5" x14ac:dyDescent="0.35">
      <c r="A109">
        <v>108</v>
      </c>
      <c r="B109" t="s">
        <v>282</v>
      </c>
      <c r="C109" s="2">
        <v>190</v>
      </c>
      <c r="D109">
        <v>8</v>
      </c>
      <c r="E109" t="s">
        <v>265</v>
      </c>
    </row>
    <row r="110" spans="1:5" x14ac:dyDescent="0.35">
      <c r="A110">
        <v>109</v>
      </c>
      <c r="B110" t="s">
        <v>283</v>
      </c>
      <c r="C110" s="2">
        <v>200</v>
      </c>
      <c r="D110">
        <v>9</v>
      </c>
      <c r="E110" t="s">
        <v>274</v>
      </c>
    </row>
    <row r="111" spans="1:5" x14ac:dyDescent="0.35">
      <c r="A111">
        <v>110</v>
      </c>
      <c r="B111" t="s">
        <v>285</v>
      </c>
      <c r="C111" s="2">
        <v>210</v>
      </c>
      <c r="D111">
        <v>10</v>
      </c>
      <c r="E111" t="s">
        <v>255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1"/>
  <sheetViews>
    <sheetView tabSelected="1" topLeftCell="E479" workbookViewId="0">
      <selection activeCell="E501" sqref="E501"/>
    </sheetView>
  </sheetViews>
  <sheetFormatPr defaultRowHeight="14.5" x14ac:dyDescent="0.35"/>
  <cols>
    <col min="1" max="1" width="9.6328125" customWidth="1"/>
    <col min="2" max="2" width="11.7265625" customWidth="1"/>
    <col min="3" max="3" width="9.36328125" customWidth="1"/>
    <col min="4" max="4" width="13.1796875" customWidth="1"/>
    <col min="5" max="5" width="11.81640625" customWidth="1"/>
    <col min="6" max="6" width="9.81640625" customWidth="1"/>
    <col min="7" max="7" width="7.08984375" customWidth="1"/>
    <col min="8" max="8" width="14.453125" customWidth="1"/>
    <col min="9" max="9" width="13.7265625" customWidth="1"/>
    <col min="10" max="10" width="13.90625" customWidth="1"/>
    <col min="11" max="11" width="17.453125" customWidth="1"/>
    <col min="12" max="12" width="15.6328125" customWidth="1"/>
    <col min="13" max="13" width="14" customWidth="1"/>
  </cols>
  <sheetData>
    <row r="1" spans="1:13" x14ac:dyDescent="0.35">
      <c r="A1" t="s">
        <v>315</v>
      </c>
      <c r="B1" t="s">
        <v>323</v>
      </c>
      <c r="C1" t="s">
        <v>0</v>
      </c>
      <c r="D1" t="s">
        <v>35</v>
      </c>
      <c r="E1" t="s">
        <v>249</v>
      </c>
      <c r="F1" t="s">
        <v>316</v>
      </c>
      <c r="G1" s="2" t="s">
        <v>324</v>
      </c>
      <c r="H1" s="2" t="s">
        <v>325</v>
      </c>
      <c r="I1" t="s">
        <v>317</v>
      </c>
      <c r="J1" s="2" t="s">
        <v>318</v>
      </c>
      <c r="K1" t="s">
        <v>319</v>
      </c>
      <c r="L1" s="2" t="s">
        <v>326</v>
      </c>
      <c r="M1" t="s">
        <v>327</v>
      </c>
    </row>
    <row r="2" spans="1:13" x14ac:dyDescent="0.35">
      <c r="A2">
        <v>1001</v>
      </c>
      <c r="B2" s="1">
        <v>45658</v>
      </c>
      <c r="C2">
        <v>2</v>
      </c>
      <c r="D2">
        <v>7</v>
      </c>
      <c r="E2">
        <v>9</v>
      </c>
      <c r="F2">
        <v>1</v>
      </c>
      <c r="G2" s="2">
        <f>Table4[[#This Row],[gross_amount]]/Table4[[#This Row],[quantity]]</f>
        <v>140</v>
      </c>
      <c r="H2" s="2">
        <f>Table4[[#This Row],[total_amount]]/(1-Table4[[#This Row],[discount_pct]]/100)</f>
        <v>140</v>
      </c>
      <c r="I2">
        <v>5</v>
      </c>
      <c r="J2" s="2">
        <v>133</v>
      </c>
      <c r="K2" t="s">
        <v>320</v>
      </c>
      <c r="L2" s="2">
        <f>Table4[[#This Row],[total_amount]]*Table4[[#This Row],[refund_count]]</f>
        <v>0</v>
      </c>
      <c r="M2">
        <v>0</v>
      </c>
    </row>
    <row r="3" spans="1:13" x14ac:dyDescent="0.35">
      <c r="A3">
        <v>1002</v>
      </c>
      <c r="B3" s="1">
        <v>45658</v>
      </c>
      <c r="C3">
        <v>9</v>
      </c>
      <c r="D3">
        <v>23</v>
      </c>
      <c r="E3">
        <v>19</v>
      </c>
      <c r="F3">
        <v>2</v>
      </c>
      <c r="G3" s="2">
        <f>Table4[[#This Row],[gross_amount]]/Table4[[#This Row],[quantity]]</f>
        <v>120</v>
      </c>
      <c r="H3" s="2">
        <f>Table4[[#This Row],[total_amount]]/(1-Table4[[#This Row],[discount_pct]]/100)</f>
        <v>240</v>
      </c>
      <c r="I3">
        <v>0</v>
      </c>
      <c r="J3" s="2">
        <v>240</v>
      </c>
      <c r="K3" t="s">
        <v>320</v>
      </c>
      <c r="L3" s="2">
        <f>Table4[[#This Row],[total_amount]]*Table4[[#This Row],[refund_count]]</f>
        <v>0</v>
      </c>
      <c r="M3">
        <v>0</v>
      </c>
    </row>
    <row r="4" spans="1:13" x14ac:dyDescent="0.35">
      <c r="A4">
        <v>1003</v>
      </c>
      <c r="B4" s="1">
        <v>45658</v>
      </c>
      <c r="C4">
        <v>9</v>
      </c>
      <c r="D4">
        <v>155</v>
      </c>
      <c r="E4">
        <v>1</v>
      </c>
      <c r="F4">
        <v>3</v>
      </c>
      <c r="G4" s="2">
        <f>Table4[[#This Row],[gross_amount]]/Table4[[#This Row],[quantity]]</f>
        <v>200</v>
      </c>
      <c r="H4" s="2">
        <f>Table4[[#This Row],[total_amount]]/(1-Table4[[#This Row],[discount_pct]]/100)</f>
        <v>600</v>
      </c>
      <c r="I4">
        <v>5</v>
      </c>
      <c r="J4" s="2">
        <v>570</v>
      </c>
      <c r="K4" t="s">
        <v>255</v>
      </c>
      <c r="L4" s="2">
        <f>Table4[[#This Row],[total_amount]]*Table4[[#This Row],[refund_count]]</f>
        <v>0</v>
      </c>
      <c r="M4">
        <v>0</v>
      </c>
    </row>
    <row r="5" spans="1:13" x14ac:dyDescent="0.35">
      <c r="A5">
        <v>1004</v>
      </c>
      <c r="B5" s="1">
        <v>45658</v>
      </c>
      <c r="C5">
        <v>10</v>
      </c>
      <c r="D5">
        <v>72</v>
      </c>
      <c r="E5">
        <v>1</v>
      </c>
      <c r="F5">
        <v>1</v>
      </c>
      <c r="G5" s="2">
        <f>Table4[[#This Row],[gross_amount]]/Table4[[#This Row],[quantity]]</f>
        <v>180</v>
      </c>
      <c r="H5" s="2">
        <f>Table4[[#This Row],[total_amount]]/(1-Table4[[#This Row],[discount_pct]]/100)</f>
        <v>180</v>
      </c>
      <c r="I5">
        <v>0</v>
      </c>
      <c r="J5" s="2">
        <v>180</v>
      </c>
      <c r="K5" t="s">
        <v>322</v>
      </c>
      <c r="L5" s="2">
        <f>Table4[[#This Row],[total_amount]]*Table4[[#This Row],[refund_count]]</f>
        <v>0</v>
      </c>
      <c r="M5">
        <v>0</v>
      </c>
    </row>
    <row r="6" spans="1:13" x14ac:dyDescent="0.35">
      <c r="A6">
        <v>1005</v>
      </c>
      <c r="B6" s="1">
        <v>45689</v>
      </c>
      <c r="C6">
        <v>4</v>
      </c>
      <c r="D6">
        <v>246</v>
      </c>
      <c r="E6">
        <v>11</v>
      </c>
      <c r="F6">
        <v>1</v>
      </c>
      <c r="G6" s="2">
        <f>Table4[[#This Row],[gross_amount]]/Table4[[#This Row],[quantity]]</f>
        <v>180</v>
      </c>
      <c r="H6" s="2">
        <f>Table4[[#This Row],[total_amount]]/(1-Table4[[#This Row],[discount_pct]]/100)</f>
        <v>180</v>
      </c>
      <c r="I6">
        <v>0</v>
      </c>
      <c r="J6" s="2">
        <v>180</v>
      </c>
      <c r="K6" t="s">
        <v>320</v>
      </c>
      <c r="L6" s="2">
        <f>Table4[[#This Row],[total_amount]]*Table4[[#This Row],[refund_count]]</f>
        <v>0</v>
      </c>
      <c r="M6">
        <v>0</v>
      </c>
    </row>
    <row r="7" spans="1:13" x14ac:dyDescent="0.35">
      <c r="A7">
        <v>1006</v>
      </c>
      <c r="B7" s="1">
        <v>45689</v>
      </c>
      <c r="C7">
        <v>6</v>
      </c>
      <c r="D7">
        <v>155</v>
      </c>
      <c r="E7">
        <v>9</v>
      </c>
      <c r="F7">
        <v>1</v>
      </c>
      <c r="G7" s="2">
        <f>Table4[[#This Row],[gross_amount]]/Table4[[#This Row],[quantity]]</f>
        <v>190</v>
      </c>
      <c r="H7" s="2">
        <f>Table4[[#This Row],[total_amount]]/(1-Table4[[#This Row],[discount_pct]]/100)</f>
        <v>190</v>
      </c>
      <c r="I7">
        <v>0</v>
      </c>
      <c r="J7" s="2">
        <v>190</v>
      </c>
      <c r="K7" t="s">
        <v>320</v>
      </c>
      <c r="L7" s="2">
        <f>Table4[[#This Row],[total_amount]]*Table4[[#This Row],[refund_count]]</f>
        <v>190</v>
      </c>
      <c r="M7">
        <v>1</v>
      </c>
    </row>
    <row r="8" spans="1:13" x14ac:dyDescent="0.35">
      <c r="A8">
        <v>1007</v>
      </c>
      <c r="B8" s="1">
        <v>45689</v>
      </c>
      <c r="C8">
        <v>7</v>
      </c>
      <c r="D8">
        <v>21</v>
      </c>
      <c r="E8">
        <v>18</v>
      </c>
      <c r="F8">
        <v>2</v>
      </c>
      <c r="G8" s="2">
        <f>Table4[[#This Row],[gross_amount]]/Table4[[#This Row],[quantity]]</f>
        <v>170</v>
      </c>
      <c r="H8" s="2">
        <f>Table4[[#This Row],[total_amount]]/(1-Table4[[#This Row],[discount_pct]]/100)</f>
        <v>340</v>
      </c>
      <c r="I8">
        <v>0</v>
      </c>
      <c r="J8" s="2">
        <v>340</v>
      </c>
      <c r="K8" t="s">
        <v>321</v>
      </c>
      <c r="L8" s="2">
        <f>Table4[[#This Row],[total_amount]]*Table4[[#This Row],[refund_count]]</f>
        <v>0</v>
      </c>
      <c r="M8">
        <v>0</v>
      </c>
    </row>
    <row r="9" spans="1:13" x14ac:dyDescent="0.35">
      <c r="A9">
        <v>1008</v>
      </c>
      <c r="B9" s="1">
        <v>45689</v>
      </c>
      <c r="C9">
        <v>1</v>
      </c>
      <c r="D9">
        <v>170</v>
      </c>
      <c r="E9">
        <v>8</v>
      </c>
      <c r="F9">
        <v>2</v>
      </c>
      <c r="G9" s="2">
        <f>Table4[[#This Row],[gross_amount]]/Table4[[#This Row],[quantity]]</f>
        <v>150</v>
      </c>
      <c r="H9" s="2">
        <f>Table4[[#This Row],[total_amount]]/(1-Table4[[#This Row],[discount_pct]]/100)</f>
        <v>300</v>
      </c>
      <c r="I9">
        <v>0</v>
      </c>
      <c r="J9" s="2">
        <v>300</v>
      </c>
      <c r="K9" t="s">
        <v>320</v>
      </c>
      <c r="L9" s="2">
        <f>Table4[[#This Row],[total_amount]]*Table4[[#This Row],[refund_count]]</f>
        <v>0</v>
      </c>
      <c r="M9">
        <v>0</v>
      </c>
    </row>
    <row r="10" spans="1:13" x14ac:dyDescent="0.35">
      <c r="A10">
        <v>1009</v>
      </c>
      <c r="B10" s="1">
        <v>45717</v>
      </c>
      <c r="C10">
        <v>8</v>
      </c>
      <c r="D10">
        <v>163</v>
      </c>
      <c r="E10">
        <v>12</v>
      </c>
      <c r="F10">
        <v>1</v>
      </c>
      <c r="G10" s="2">
        <f>Table4[[#This Row],[gross_amount]]/Table4[[#This Row],[quantity]]</f>
        <v>170</v>
      </c>
      <c r="H10" s="2">
        <f>Table4[[#This Row],[total_amount]]/(1-Table4[[#This Row],[discount_pct]]/100)</f>
        <v>170</v>
      </c>
      <c r="I10">
        <v>10</v>
      </c>
      <c r="J10" s="2">
        <v>153</v>
      </c>
      <c r="K10" t="s">
        <v>321</v>
      </c>
      <c r="L10" s="2">
        <f>Table4[[#This Row],[total_amount]]*Table4[[#This Row],[refund_count]]</f>
        <v>0</v>
      </c>
      <c r="M10">
        <v>0</v>
      </c>
    </row>
    <row r="11" spans="1:13" x14ac:dyDescent="0.35">
      <c r="A11">
        <v>1010</v>
      </c>
      <c r="B11" s="1">
        <v>45717</v>
      </c>
      <c r="C11">
        <v>2</v>
      </c>
      <c r="D11">
        <v>156</v>
      </c>
      <c r="E11">
        <v>6</v>
      </c>
      <c r="F11">
        <v>3</v>
      </c>
      <c r="G11" s="2">
        <f>Table4[[#This Row],[gross_amount]]/Table4[[#This Row],[quantity]]</f>
        <v>150</v>
      </c>
      <c r="H11" s="2">
        <f>Table4[[#This Row],[total_amount]]/(1-Table4[[#This Row],[discount_pct]]/100)</f>
        <v>450</v>
      </c>
      <c r="I11">
        <v>0</v>
      </c>
      <c r="J11" s="2">
        <v>450</v>
      </c>
      <c r="K11" t="s">
        <v>321</v>
      </c>
      <c r="L11" s="2">
        <f>Table4[[#This Row],[total_amount]]*Table4[[#This Row],[refund_count]]</f>
        <v>0</v>
      </c>
      <c r="M11">
        <v>0</v>
      </c>
    </row>
    <row r="12" spans="1:13" x14ac:dyDescent="0.35">
      <c r="A12">
        <v>1011</v>
      </c>
      <c r="B12" s="1">
        <v>45717</v>
      </c>
      <c r="C12">
        <v>5</v>
      </c>
      <c r="D12">
        <v>237</v>
      </c>
      <c r="E12">
        <v>18</v>
      </c>
      <c r="F12">
        <v>1</v>
      </c>
      <c r="G12" s="2">
        <f>Table4[[#This Row],[gross_amount]]/Table4[[#This Row],[quantity]]</f>
        <v>170</v>
      </c>
      <c r="H12" s="2">
        <f>Table4[[#This Row],[total_amount]]/(1-Table4[[#This Row],[discount_pct]]/100)</f>
        <v>170</v>
      </c>
      <c r="I12">
        <v>0</v>
      </c>
      <c r="J12" s="2">
        <v>170</v>
      </c>
      <c r="K12" t="s">
        <v>320</v>
      </c>
      <c r="L12" s="2">
        <f>Table4[[#This Row],[total_amount]]*Table4[[#This Row],[refund_count]]</f>
        <v>0</v>
      </c>
      <c r="M12">
        <v>0</v>
      </c>
    </row>
    <row r="13" spans="1:13" x14ac:dyDescent="0.35">
      <c r="A13">
        <v>1012</v>
      </c>
      <c r="B13" s="1">
        <v>45717</v>
      </c>
      <c r="C13">
        <v>1</v>
      </c>
      <c r="D13">
        <v>207</v>
      </c>
      <c r="E13">
        <v>11</v>
      </c>
      <c r="F13">
        <v>2</v>
      </c>
      <c r="G13" s="2">
        <f>Table4[[#This Row],[gross_amount]]/Table4[[#This Row],[quantity]]</f>
        <v>130</v>
      </c>
      <c r="H13" s="2">
        <f>Table4[[#This Row],[total_amount]]/(1-Table4[[#This Row],[discount_pct]]/100)</f>
        <v>260</v>
      </c>
      <c r="I13">
        <v>10</v>
      </c>
      <c r="J13" s="2">
        <v>234</v>
      </c>
      <c r="K13" t="s">
        <v>321</v>
      </c>
      <c r="L13" s="2">
        <f>Table4[[#This Row],[total_amount]]*Table4[[#This Row],[refund_count]]</f>
        <v>0</v>
      </c>
      <c r="M13">
        <v>0</v>
      </c>
    </row>
    <row r="14" spans="1:13" x14ac:dyDescent="0.35">
      <c r="A14">
        <v>1013</v>
      </c>
      <c r="B14" s="1">
        <v>45748</v>
      </c>
      <c r="C14">
        <v>10</v>
      </c>
      <c r="D14">
        <v>225</v>
      </c>
      <c r="E14">
        <v>11</v>
      </c>
      <c r="F14">
        <v>1</v>
      </c>
      <c r="G14" s="2">
        <f>Table4[[#This Row],[gross_amount]]/Table4[[#This Row],[quantity]]</f>
        <v>190</v>
      </c>
      <c r="H14" s="2">
        <f>Table4[[#This Row],[total_amount]]/(1-Table4[[#This Row],[discount_pct]]/100)</f>
        <v>190</v>
      </c>
      <c r="I14">
        <v>0</v>
      </c>
      <c r="J14" s="2">
        <v>190</v>
      </c>
      <c r="K14" t="s">
        <v>255</v>
      </c>
      <c r="L14" s="2">
        <f>Table4[[#This Row],[total_amount]]*Table4[[#This Row],[refund_count]]</f>
        <v>0</v>
      </c>
      <c r="M14">
        <v>0</v>
      </c>
    </row>
    <row r="15" spans="1:13" x14ac:dyDescent="0.35">
      <c r="A15">
        <v>1014</v>
      </c>
      <c r="B15" s="1">
        <v>45748</v>
      </c>
      <c r="C15">
        <v>8</v>
      </c>
      <c r="D15">
        <v>37</v>
      </c>
      <c r="E15">
        <v>9</v>
      </c>
      <c r="F15">
        <v>1</v>
      </c>
      <c r="G15" s="2">
        <f>Table4[[#This Row],[gross_amount]]/Table4[[#This Row],[quantity]]</f>
        <v>200</v>
      </c>
      <c r="H15" s="2">
        <f>Table4[[#This Row],[total_amount]]/(1-Table4[[#This Row],[discount_pct]]/100)</f>
        <v>200</v>
      </c>
      <c r="I15">
        <v>5</v>
      </c>
      <c r="J15" s="2">
        <v>190</v>
      </c>
      <c r="K15" t="s">
        <v>322</v>
      </c>
      <c r="L15" s="2">
        <f>Table4[[#This Row],[total_amount]]*Table4[[#This Row],[refund_count]]</f>
        <v>0</v>
      </c>
      <c r="M15">
        <v>0</v>
      </c>
    </row>
    <row r="16" spans="1:13" x14ac:dyDescent="0.35">
      <c r="A16">
        <v>1015</v>
      </c>
      <c r="B16" s="1">
        <v>45748</v>
      </c>
      <c r="C16">
        <v>7</v>
      </c>
      <c r="D16">
        <v>230</v>
      </c>
      <c r="E16">
        <v>19</v>
      </c>
      <c r="F16">
        <v>2</v>
      </c>
      <c r="G16" s="2">
        <f>Table4[[#This Row],[gross_amount]]/Table4[[#This Row],[quantity]]</f>
        <v>150</v>
      </c>
      <c r="H16" s="2">
        <f>Table4[[#This Row],[total_amount]]/(1-Table4[[#This Row],[discount_pct]]/100)</f>
        <v>300</v>
      </c>
      <c r="I16">
        <v>10</v>
      </c>
      <c r="J16" s="2">
        <v>270</v>
      </c>
      <c r="K16" t="s">
        <v>321</v>
      </c>
      <c r="L16" s="2">
        <f>Table4[[#This Row],[total_amount]]*Table4[[#This Row],[refund_count]]</f>
        <v>0</v>
      </c>
      <c r="M16">
        <v>0</v>
      </c>
    </row>
    <row r="17" spans="1:13" x14ac:dyDescent="0.35">
      <c r="A17">
        <v>1016</v>
      </c>
      <c r="B17" s="1">
        <v>45748</v>
      </c>
      <c r="C17">
        <v>2</v>
      </c>
      <c r="D17">
        <v>194</v>
      </c>
      <c r="E17">
        <v>2</v>
      </c>
      <c r="F17">
        <v>1</v>
      </c>
      <c r="G17" s="2">
        <f>Table4[[#This Row],[gross_amount]]/Table4[[#This Row],[quantity]]</f>
        <v>140</v>
      </c>
      <c r="H17" s="2">
        <f>Table4[[#This Row],[total_amount]]/(1-Table4[[#This Row],[discount_pct]]/100)</f>
        <v>140</v>
      </c>
      <c r="I17">
        <v>5</v>
      </c>
      <c r="J17" s="2">
        <v>133</v>
      </c>
      <c r="K17" t="s">
        <v>255</v>
      </c>
      <c r="L17" s="2">
        <f>Table4[[#This Row],[total_amount]]*Table4[[#This Row],[refund_count]]</f>
        <v>0</v>
      </c>
      <c r="M17">
        <v>0</v>
      </c>
    </row>
    <row r="18" spans="1:13" x14ac:dyDescent="0.35">
      <c r="A18">
        <v>1017</v>
      </c>
      <c r="B18" s="1">
        <v>45778</v>
      </c>
      <c r="C18">
        <v>7</v>
      </c>
      <c r="D18">
        <v>98</v>
      </c>
      <c r="E18">
        <v>20</v>
      </c>
      <c r="F18">
        <v>2</v>
      </c>
      <c r="G18" s="2">
        <f>Table4[[#This Row],[gross_amount]]/Table4[[#This Row],[quantity]]</f>
        <v>160</v>
      </c>
      <c r="H18" s="2">
        <f>Table4[[#This Row],[total_amount]]/(1-Table4[[#This Row],[discount_pct]]/100)</f>
        <v>320</v>
      </c>
      <c r="I18">
        <v>20</v>
      </c>
      <c r="J18" s="2">
        <v>256</v>
      </c>
      <c r="K18" t="s">
        <v>320</v>
      </c>
      <c r="L18" s="2">
        <f>Table4[[#This Row],[total_amount]]*Table4[[#This Row],[refund_count]]</f>
        <v>0</v>
      </c>
      <c r="M18">
        <v>0</v>
      </c>
    </row>
    <row r="19" spans="1:13" x14ac:dyDescent="0.35">
      <c r="A19">
        <v>1018</v>
      </c>
      <c r="B19" s="1">
        <v>45778</v>
      </c>
      <c r="C19">
        <v>2</v>
      </c>
      <c r="D19">
        <v>175</v>
      </c>
      <c r="E19">
        <v>18</v>
      </c>
      <c r="F19">
        <v>2</v>
      </c>
      <c r="G19" s="2">
        <f>Table4[[#This Row],[gross_amount]]/Table4[[#This Row],[quantity]]</f>
        <v>170</v>
      </c>
      <c r="H19" s="2">
        <f>Table4[[#This Row],[total_amount]]/(1-Table4[[#This Row],[discount_pct]]/100)</f>
        <v>340</v>
      </c>
      <c r="I19">
        <v>0</v>
      </c>
      <c r="J19" s="2">
        <v>340</v>
      </c>
      <c r="K19" t="s">
        <v>320</v>
      </c>
      <c r="L19" s="2">
        <f>Table4[[#This Row],[total_amount]]*Table4[[#This Row],[refund_count]]</f>
        <v>0</v>
      </c>
      <c r="M19">
        <v>0</v>
      </c>
    </row>
    <row r="20" spans="1:13" x14ac:dyDescent="0.35">
      <c r="A20">
        <v>1019</v>
      </c>
      <c r="B20" s="1">
        <v>45778</v>
      </c>
      <c r="C20">
        <v>3</v>
      </c>
      <c r="D20">
        <v>117</v>
      </c>
      <c r="E20">
        <v>1</v>
      </c>
      <c r="F20">
        <v>3</v>
      </c>
      <c r="G20" s="2">
        <f>Table4[[#This Row],[gross_amount]]/Table4[[#This Row],[quantity]]</f>
        <v>160</v>
      </c>
      <c r="H20" s="2">
        <f>Table4[[#This Row],[total_amount]]/(1-Table4[[#This Row],[discount_pct]]/100)</f>
        <v>480</v>
      </c>
      <c r="I20">
        <v>0</v>
      </c>
      <c r="J20" s="2">
        <v>480</v>
      </c>
      <c r="K20" t="s">
        <v>321</v>
      </c>
      <c r="L20" s="2">
        <f>Table4[[#This Row],[total_amount]]*Table4[[#This Row],[refund_count]]</f>
        <v>0</v>
      </c>
      <c r="M20">
        <v>0</v>
      </c>
    </row>
    <row r="21" spans="1:13" x14ac:dyDescent="0.35">
      <c r="A21">
        <v>1020</v>
      </c>
      <c r="B21" s="1">
        <v>45778</v>
      </c>
      <c r="C21">
        <v>2</v>
      </c>
      <c r="D21">
        <v>223</v>
      </c>
      <c r="E21">
        <v>10</v>
      </c>
      <c r="F21">
        <v>3</v>
      </c>
      <c r="G21" s="2">
        <f>Table4[[#This Row],[gross_amount]]/Table4[[#This Row],[quantity]]</f>
        <v>150</v>
      </c>
      <c r="H21" s="2">
        <f>Table4[[#This Row],[total_amount]]/(1-Table4[[#This Row],[discount_pct]]/100)</f>
        <v>450</v>
      </c>
      <c r="I21">
        <v>20</v>
      </c>
      <c r="J21" s="2">
        <v>360</v>
      </c>
      <c r="K21" t="s">
        <v>321</v>
      </c>
      <c r="L21" s="2">
        <f>Table4[[#This Row],[total_amount]]*Table4[[#This Row],[refund_count]]</f>
        <v>0</v>
      </c>
      <c r="M21">
        <v>0</v>
      </c>
    </row>
    <row r="22" spans="1:13" x14ac:dyDescent="0.35">
      <c r="A22">
        <v>1021</v>
      </c>
      <c r="B22" s="1">
        <v>45809</v>
      </c>
      <c r="C22">
        <v>3</v>
      </c>
      <c r="D22">
        <v>139</v>
      </c>
      <c r="E22">
        <v>17</v>
      </c>
      <c r="F22">
        <v>1</v>
      </c>
      <c r="G22" s="2">
        <f>Table4[[#This Row],[gross_amount]]/Table4[[#This Row],[quantity]]</f>
        <v>170</v>
      </c>
      <c r="H22" s="2">
        <f>Table4[[#This Row],[total_amount]]/(1-Table4[[#This Row],[discount_pct]]/100)</f>
        <v>170</v>
      </c>
      <c r="I22">
        <v>20</v>
      </c>
      <c r="J22" s="2">
        <v>136</v>
      </c>
      <c r="K22" t="s">
        <v>255</v>
      </c>
      <c r="L22" s="2">
        <f>Table4[[#This Row],[total_amount]]*Table4[[#This Row],[refund_count]]</f>
        <v>0</v>
      </c>
      <c r="M22">
        <v>0</v>
      </c>
    </row>
    <row r="23" spans="1:13" x14ac:dyDescent="0.35">
      <c r="A23">
        <v>1022</v>
      </c>
      <c r="B23" s="1">
        <v>45809</v>
      </c>
      <c r="C23">
        <v>6</v>
      </c>
      <c r="D23">
        <v>225</v>
      </c>
      <c r="E23">
        <v>10</v>
      </c>
      <c r="F23">
        <v>1</v>
      </c>
      <c r="G23" s="2">
        <f>Table4[[#This Row],[gross_amount]]/Table4[[#This Row],[quantity]]</f>
        <v>150</v>
      </c>
      <c r="H23" s="2">
        <f>Table4[[#This Row],[total_amount]]/(1-Table4[[#This Row],[discount_pct]]/100)</f>
        <v>150</v>
      </c>
      <c r="I23">
        <v>0</v>
      </c>
      <c r="J23" s="2">
        <v>150</v>
      </c>
      <c r="K23" t="s">
        <v>320</v>
      </c>
      <c r="L23" s="2">
        <f>Table4[[#This Row],[total_amount]]*Table4[[#This Row],[refund_count]]</f>
        <v>0</v>
      </c>
      <c r="M23">
        <v>0</v>
      </c>
    </row>
    <row r="24" spans="1:13" x14ac:dyDescent="0.35">
      <c r="A24">
        <v>1023</v>
      </c>
      <c r="B24" s="1">
        <v>45809</v>
      </c>
      <c r="C24">
        <v>8</v>
      </c>
      <c r="D24">
        <v>209</v>
      </c>
      <c r="E24">
        <v>3</v>
      </c>
      <c r="F24">
        <v>3</v>
      </c>
      <c r="G24" s="2">
        <f>Table4[[#This Row],[gross_amount]]/Table4[[#This Row],[quantity]]</f>
        <v>140</v>
      </c>
      <c r="H24" s="2">
        <f>Table4[[#This Row],[total_amount]]/(1-Table4[[#This Row],[discount_pct]]/100)</f>
        <v>420</v>
      </c>
      <c r="I24">
        <v>5</v>
      </c>
      <c r="J24" s="2">
        <v>399</v>
      </c>
      <c r="K24" t="s">
        <v>255</v>
      </c>
      <c r="L24" s="2">
        <f>Table4[[#This Row],[total_amount]]*Table4[[#This Row],[refund_count]]</f>
        <v>399</v>
      </c>
      <c r="M24">
        <v>1</v>
      </c>
    </row>
    <row r="25" spans="1:13" x14ac:dyDescent="0.35">
      <c r="A25">
        <v>1024</v>
      </c>
      <c r="B25" s="1">
        <v>45809</v>
      </c>
      <c r="C25">
        <v>3</v>
      </c>
      <c r="D25">
        <v>68</v>
      </c>
      <c r="E25">
        <v>17</v>
      </c>
      <c r="F25">
        <v>3</v>
      </c>
      <c r="G25" s="2">
        <f>Table4[[#This Row],[gross_amount]]/Table4[[#This Row],[quantity]]</f>
        <v>150</v>
      </c>
      <c r="H25" s="2">
        <f>Table4[[#This Row],[total_amount]]/(1-Table4[[#This Row],[discount_pct]]/100)</f>
        <v>450</v>
      </c>
      <c r="I25">
        <v>15</v>
      </c>
      <c r="J25" s="2">
        <v>382.5</v>
      </c>
      <c r="K25" t="s">
        <v>321</v>
      </c>
      <c r="L25" s="2">
        <f>Table4[[#This Row],[total_amount]]*Table4[[#This Row],[refund_count]]</f>
        <v>0</v>
      </c>
      <c r="M25">
        <v>0</v>
      </c>
    </row>
    <row r="26" spans="1:13" x14ac:dyDescent="0.35">
      <c r="A26">
        <v>1025</v>
      </c>
      <c r="B26" s="1">
        <v>45840</v>
      </c>
      <c r="C26">
        <v>7</v>
      </c>
      <c r="D26">
        <v>172</v>
      </c>
      <c r="E26">
        <v>12</v>
      </c>
      <c r="F26">
        <v>2</v>
      </c>
      <c r="G26" s="2">
        <f>Table4[[#This Row],[gross_amount]]/Table4[[#This Row],[quantity]]</f>
        <v>190</v>
      </c>
      <c r="H26" s="2">
        <f>Table4[[#This Row],[total_amount]]/(1-Table4[[#This Row],[discount_pct]]/100)</f>
        <v>380</v>
      </c>
      <c r="I26">
        <v>20</v>
      </c>
      <c r="J26" s="2">
        <v>304</v>
      </c>
      <c r="K26" t="s">
        <v>320</v>
      </c>
      <c r="L26" s="2">
        <f>Table4[[#This Row],[total_amount]]*Table4[[#This Row],[refund_count]]</f>
        <v>0</v>
      </c>
      <c r="M26">
        <v>0</v>
      </c>
    </row>
    <row r="27" spans="1:13" x14ac:dyDescent="0.35">
      <c r="A27">
        <v>1026</v>
      </c>
      <c r="B27" s="1">
        <v>45840</v>
      </c>
      <c r="C27">
        <v>2</v>
      </c>
      <c r="D27">
        <v>87</v>
      </c>
      <c r="E27">
        <v>1</v>
      </c>
      <c r="F27">
        <v>3</v>
      </c>
      <c r="G27" s="2">
        <f>Table4[[#This Row],[gross_amount]]/Table4[[#This Row],[quantity]]</f>
        <v>150</v>
      </c>
      <c r="H27" s="2">
        <f>Table4[[#This Row],[total_amount]]/(1-Table4[[#This Row],[discount_pct]]/100)</f>
        <v>450</v>
      </c>
      <c r="I27">
        <v>20</v>
      </c>
      <c r="J27" s="2">
        <v>360</v>
      </c>
      <c r="K27" t="s">
        <v>321</v>
      </c>
      <c r="L27" s="2">
        <f>Table4[[#This Row],[total_amount]]*Table4[[#This Row],[refund_count]]</f>
        <v>0</v>
      </c>
      <c r="M27">
        <v>0</v>
      </c>
    </row>
    <row r="28" spans="1:13" x14ac:dyDescent="0.35">
      <c r="A28">
        <v>1027</v>
      </c>
      <c r="B28" s="1">
        <v>45840</v>
      </c>
      <c r="C28">
        <v>1</v>
      </c>
      <c r="D28">
        <v>59</v>
      </c>
      <c r="E28">
        <v>3</v>
      </c>
      <c r="F28">
        <v>1</v>
      </c>
      <c r="G28" s="2">
        <f>Table4[[#This Row],[gross_amount]]/Table4[[#This Row],[quantity]]</f>
        <v>130</v>
      </c>
      <c r="H28" s="2">
        <f>Table4[[#This Row],[total_amount]]/(1-Table4[[#This Row],[discount_pct]]/100)</f>
        <v>130</v>
      </c>
      <c r="I28">
        <v>10</v>
      </c>
      <c r="J28" s="2">
        <v>117</v>
      </c>
      <c r="K28" t="s">
        <v>321</v>
      </c>
      <c r="L28" s="2">
        <f>Table4[[#This Row],[total_amount]]*Table4[[#This Row],[refund_count]]</f>
        <v>0</v>
      </c>
      <c r="M28">
        <v>0</v>
      </c>
    </row>
    <row r="29" spans="1:13" x14ac:dyDescent="0.35">
      <c r="A29">
        <v>1028</v>
      </c>
      <c r="B29" s="1">
        <v>45840</v>
      </c>
      <c r="C29">
        <v>8</v>
      </c>
      <c r="D29">
        <v>55</v>
      </c>
      <c r="E29">
        <v>18</v>
      </c>
      <c r="F29">
        <v>1</v>
      </c>
      <c r="G29" s="2">
        <f>Table4[[#This Row],[gross_amount]]/Table4[[#This Row],[quantity]]</f>
        <v>190</v>
      </c>
      <c r="H29" s="2">
        <f>Table4[[#This Row],[total_amount]]/(1-Table4[[#This Row],[discount_pct]]/100)</f>
        <v>190</v>
      </c>
      <c r="I29">
        <v>0</v>
      </c>
      <c r="J29" s="2">
        <v>190</v>
      </c>
      <c r="K29" t="s">
        <v>321</v>
      </c>
      <c r="L29" s="2">
        <f>Table4[[#This Row],[total_amount]]*Table4[[#This Row],[refund_count]]</f>
        <v>0</v>
      </c>
      <c r="M29">
        <v>0</v>
      </c>
    </row>
    <row r="30" spans="1:13" x14ac:dyDescent="0.35">
      <c r="A30">
        <v>1029</v>
      </c>
      <c r="B30" s="1">
        <v>45871</v>
      </c>
      <c r="C30">
        <v>7</v>
      </c>
      <c r="D30">
        <v>49</v>
      </c>
      <c r="E30">
        <v>4</v>
      </c>
      <c r="F30">
        <v>1</v>
      </c>
      <c r="G30" s="2">
        <f>Table4[[#This Row],[gross_amount]]/Table4[[#This Row],[quantity]]</f>
        <v>180</v>
      </c>
      <c r="H30" s="2">
        <f>Table4[[#This Row],[total_amount]]/(1-Table4[[#This Row],[discount_pct]]/100)</f>
        <v>180</v>
      </c>
      <c r="I30">
        <v>0</v>
      </c>
      <c r="J30" s="2">
        <v>180</v>
      </c>
      <c r="K30" t="s">
        <v>322</v>
      </c>
      <c r="L30" s="2">
        <f>Table4[[#This Row],[total_amount]]*Table4[[#This Row],[refund_count]]</f>
        <v>0</v>
      </c>
      <c r="M30">
        <v>0</v>
      </c>
    </row>
    <row r="31" spans="1:13" x14ac:dyDescent="0.35">
      <c r="A31">
        <v>1030</v>
      </c>
      <c r="B31" s="1">
        <v>45871</v>
      </c>
      <c r="C31">
        <v>8</v>
      </c>
      <c r="D31">
        <v>222</v>
      </c>
      <c r="E31">
        <v>2</v>
      </c>
      <c r="F31">
        <v>3</v>
      </c>
      <c r="G31" s="2">
        <f>Table4[[#This Row],[gross_amount]]/Table4[[#This Row],[quantity]]</f>
        <v>130</v>
      </c>
      <c r="H31" s="2">
        <f>Table4[[#This Row],[total_amount]]/(1-Table4[[#This Row],[discount_pct]]/100)</f>
        <v>390</v>
      </c>
      <c r="I31">
        <v>0</v>
      </c>
      <c r="J31" s="2">
        <v>390</v>
      </c>
      <c r="K31" t="s">
        <v>320</v>
      </c>
      <c r="L31" s="2">
        <f>Table4[[#This Row],[total_amount]]*Table4[[#This Row],[refund_count]]</f>
        <v>0</v>
      </c>
      <c r="M31">
        <v>0</v>
      </c>
    </row>
    <row r="32" spans="1:13" x14ac:dyDescent="0.35">
      <c r="A32">
        <v>1031</v>
      </c>
      <c r="B32" s="1">
        <v>45871</v>
      </c>
      <c r="C32">
        <v>6</v>
      </c>
      <c r="D32">
        <v>205</v>
      </c>
      <c r="E32">
        <v>4</v>
      </c>
      <c r="F32">
        <v>1</v>
      </c>
      <c r="G32" s="2">
        <f>Table4[[#This Row],[gross_amount]]/Table4[[#This Row],[quantity]]</f>
        <v>150</v>
      </c>
      <c r="H32" s="2">
        <f>Table4[[#This Row],[total_amount]]/(1-Table4[[#This Row],[discount_pct]]/100)</f>
        <v>150</v>
      </c>
      <c r="I32">
        <v>5</v>
      </c>
      <c r="J32" s="2">
        <v>142.5</v>
      </c>
      <c r="K32" t="s">
        <v>255</v>
      </c>
      <c r="L32" s="2">
        <f>Table4[[#This Row],[total_amount]]*Table4[[#This Row],[refund_count]]</f>
        <v>0</v>
      </c>
      <c r="M32">
        <v>0</v>
      </c>
    </row>
    <row r="33" spans="1:13" x14ac:dyDescent="0.35">
      <c r="A33">
        <v>1032</v>
      </c>
      <c r="B33" s="1">
        <v>45871</v>
      </c>
      <c r="C33">
        <v>3</v>
      </c>
      <c r="D33">
        <v>72</v>
      </c>
      <c r="E33">
        <v>15</v>
      </c>
      <c r="F33">
        <v>1</v>
      </c>
      <c r="G33" s="2">
        <f>Table4[[#This Row],[gross_amount]]/Table4[[#This Row],[quantity]]</f>
        <v>190</v>
      </c>
      <c r="H33" s="2">
        <f>Table4[[#This Row],[total_amount]]/(1-Table4[[#This Row],[discount_pct]]/100)</f>
        <v>190</v>
      </c>
      <c r="I33">
        <v>0</v>
      </c>
      <c r="J33" s="2">
        <v>190</v>
      </c>
      <c r="K33" t="s">
        <v>320</v>
      </c>
      <c r="L33" s="2">
        <f>Table4[[#This Row],[total_amount]]*Table4[[#This Row],[refund_count]]</f>
        <v>0</v>
      </c>
      <c r="M33">
        <v>0</v>
      </c>
    </row>
    <row r="34" spans="1:13" x14ac:dyDescent="0.35">
      <c r="A34">
        <v>1033</v>
      </c>
      <c r="B34" s="1">
        <v>45902</v>
      </c>
      <c r="C34">
        <v>9</v>
      </c>
      <c r="D34">
        <v>215</v>
      </c>
      <c r="E34">
        <v>1</v>
      </c>
      <c r="F34">
        <v>1</v>
      </c>
      <c r="G34" s="2">
        <f>Table4[[#This Row],[gross_amount]]/Table4[[#This Row],[quantity]]</f>
        <v>140</v>
      </c>
      <c r="H34" s="2">
        <f>Table4[[#This Row],[total_amount]]/(1-Table4[[#This Row],[discount_pct]]/100)</f>
        <v>140</v>
      </c>
      <c r="I34">
        <v>5</v>
      </c>
      <c r="J34" s="2">
        <v>133</v>
      </c>
      <c r="K34" t="s">
        <v>255</v>
      </c>
      <c r="L34" s="2">
        <f>Table4[[#This Row],[total_amount]]*Table4[[#This Row],[refund_count]]</f>
        <v>0</v>
      </c>
      <c r="M34">
        <v>0</v>
      </c>
    </row>
    <row r="35" spans="1:13" x14ac:dyDescent="0.35">
      <c r="A35">
        <v>1034</v>
      </c>
      <c r="B35" s="1">
        <v>45902</v>
      </c>
      <c r="C35">
        <v>4</v>
      </c>
      <c r="D35">
        <v>222</v>
      </c>
      <c r="E35">
        <v>13</v>
      </c>
      <c r="F35">
        <v>1</v>
      </c>
      <c r="G35" s="2">
        <f>Table4[[#This Row],[gross_amount]]/Table4[[#This Row],[quantity]]</f>
        <v>180</v>
      </c>
      <c r="H35" s="2">
        <f>Table4[[#This Row],[total_amount]]/(1-Table4[[#This Row],[discount_pct]]/100)</f>
        <v>180</v>
      </c>
      <c r="I35">
        <v>5</v>
      </c>
      <c r="J35" s="2">
        <v>171</v>
      </c>
      <c r="K35" t="s">
        <v>320</v>
      </c>
      <c r="L35" s="2">
        <f>Table4[[#This Row],[total_amount]]*Table4[[#This Row],[refund_count]]</f>
        <v>171</v>
      </c>
      <c r="M35">
        <v>1</v>
      </c>
    </row>
    <row r="36" spans="1:13" x14ac:dyDescent="0.35">
      <c r="A36">
        <v>1035</v>
      </c>
      <c r="B36" s="1">
        <v>45902</v>
      </c>
      <c r="C36">
        <v>5</v>
      </c>
      <c r="D36">
        <v>238</v>
      </c>
      <c r="E36">
        <v>15</v>
      </c>
      <c r="F36">
        <v>2</v>
      </c>
      <c r="G36" s="2">
        <f>Table4[[#This Row],[gross_amount]]/Table4[[#This Row],[quantity]]</f>
        <v>200</v>
      </c>
      <c r="H36" s="2">
        <f>Table4[[#This Row],[total_amount]]/(1-Table4[[#This Row],[discount_pct]]/100)</f>
        <v>400</v>
      </c>
      <c r="I36">
        <v>15</v>
      </c>
      <c r="J36" s="2">
        <v>340</v>
      </c>
      <c r="K36" t="s">
        <v>255</v>
      </c>
      <c r="L36" s="2">
        <f>Table4[[#This Row],[total_amount]]*Table4[[#This Row],[refund_count]]</f>
        <v>0</v>
      </c>
      <c r="M36">
        <v>0</v>
      </c>
    </row>
    <row r="37" spans="1:13" x14ac:dyDescent="0.35">
      <c r="A37">
        <v>1036</v>
      </c>
      <c r="B37" s="1">
        <v>45902</v>
      </c>
      <c r="C37">
        <v>5</v>
      </c>
      <c r="D37">
        <v>56</v>
      </c>
      <c r="E37">
        <v>2</v>
      </c>
      <c r="F37">
        <v>3</v>
      </c>
      <c r="G37" s="2">
        <f>Table4[[#This Row],[gross_amount]]/Table4[[#This Row],[quantity]]</f>
        <v>200</v>
      </c>
      <c r="H37" s="2">
        <f>Table4[[#This Row],[total_amount]]/(1-Table4[[#This Row],[discount_pct]]/100)</f>
        <v>600</v>
      </c>
      <c r="I37">
        <v>0</v>
      </c>
      <c r="J37" s="2">
        <v>600</v>
      </c>
      <c r="K37" t="s">
        <v>320</v>
      </c>
      <c r="L37" s="2">
        <f>Table4[[#This Row],[total_amount]]*Table4[[#This Row],[refund_count]]</f>
        <v>0</v>
      </c>
      <c r="M37">
        <v>0</v>
      </c>
    </row>
    <row r="38" spans="1:13" x14ac:dyDescent="0.35">
      <c r="A38">
        <v>1037</v>
      </c>
      <c r="B38" s="1">
        <v>45932</v>
      </c>
      <c r="C38">
        <v>1</v>
      </c>
      <c r="D38">
        <v>13</v>
      </c>
      <c r="E38">
        <v>19</v>
      </c>
      <c r="F38">
        <v>2</v>
      </c>
      <c r="G38" s="2">
        <f>Table4[[#This Row],[gross_amount]]/Table4[[#This Row],[quantity]]</f>
        <v>200</v>
      </c>
      <c r="H38" s="2">
        <f>Table4[[#This Row],[total_amount]]/(1-Table4[[#This Row],[discount_pct]]/100)</f>
        <v>400</v>
      </c>
      <c r="I38">
        <v>20</v>
      </c>
      <c r="J38" s="2">
        <v>320</v>
      </c>
      <c r="K38" t="s">
        <v>321</v>
      </c>
      <c r="L38" s="2">
        <f>Table4[[#This Row],[total_amount]]*Table4[[#This Row],[refund_count]]</f>
        <v>0</v>
      </c>
      <c r="M38">
        <v>0</v>
      </c>
    </row>
    <row r="39" spans="1:13" x14ac:dyDescent="0.35">
      <c r="A39">
        <v>1038</v>
      </c>
      <c r="B39" s="1">
        <v>45932</v>
      </c>
      <c r="C39">
        <v>9</v>
      </c>
      <c r="D39">
        <v>21</v>
      </c>
      <c r="E39">
        <v>6</v>
      </c>
      <c r="F39">
        <v>1</v>
      </c>
      <c r="G39" s="2">
        <f>Table4[[#This Row],[gross_amount]]/Table4[[#This Row],[quantity]]</f>
        <v>170</v>
      </c>
      <c r="H39" s="2">
        <f>Table4[[#This Row],[total_amount]]/(1-Table4[[#This Row],[discount_pct]]/100)</f>
        <v>170</v>
      </c>
      <c r="I39">
        <v>20</v>
      </c>
      <c r="J39" s="2">
        <v>136</v>
      </c>
      <c r="K39" t="s">
        <v>320</v>
      </c>
      <c r="L39" s="2">
        <f>Table4[[#This Row],[total_amount]]*Table4[[#This Row],[refund_count]]</f>
        <v>0</v>
      </c>
      <c r="M39">
        <v>0</v>
      </c>
    </row>
    <row r="40" spans="1:13" x14ac:dyDescent="0.35">
      <c r="A40">
        <v>1039</v>
      </c>
      <c r="B40" s="1">
        <v>45932</v>
      </c>
      <c r="C40">
        <v>3</v>
      </c>
      <c r="D40">
        <v>179</v>
      </c>
      <c r="E40">
        <v>1</v>
      </c>
      <c r="F40">
        <v>1</v>
      </c>
      <c r="G40" s="2">
        <f>Table4[[#This Row],[gross_amount]]/Table4[[#This Row],[quantity]]</f>
        <v>180</v>
      </c>
      <c r="H40" s="2">
        <f>Table4[[#This Row],[total_amount]]/(1-Table4[[#This Row],[discount_pct]]/100)</f>
        <v>180</v>
      </c>
      <c r="I40">
        <v>0</v>
      </c>
      <c r="J40" s="2">
        <v>180</v>
      </c>
      <c r="K40" t="s">
        <v>320</v>
      </c>
      <c r="L40" s="2">
        <f>Table4[[#This Row],[total_amount]]*Table4[[#This Row],[refund_count]]</f>
        <v>0</v>
      </c>
      <c r="M40">
        <v>0</v>
      </c>
    </row>
    <row r="41" spans="1:13" x14ac:dyDescent="0.35">
      <c r="A41">
        <v>1040</v>
      </c>
      <c r="B41" s="1">
        <v>45932</v>
      </c>
      <c r="C41">
        <v>5</v>
      </c>
      <c r="D41">
        <v>29</v>
      </c>
      <c r="E41">
        <v>18</v>
      </c>
      <c r="F41">
        <v>3</v>
      </c>
      <c r="G41" s="2">
        <f>Table4[[#This Row],[gross_amount]]/Table4[[#This Row],[quantity]]</f>
        <v>170</v>
      </c>
      <c r="H41" s="2">
        <f>Table4[[#This Row],[total_amount]]/(1-Table4[[#This Row],[discount_pct]]/100)</f>
        <v>510</v>
      </c>
      <c r="I41">
        <v>15</v>
      </c>
      <c r="J41" s="2">
        <v>433.5</v>
      </c>
      <c r="K41" t="s">
        <v>322</v>
      </c>
      <c r="L41" s="2">
        <f>Table4[[#This Row],[total_amount]]*Table4[[#This Row],[refund_count]]</f>
        <v>0</v>
      </c>
      <c r="M41">
        <v>0</v>
      </c>
    </row>
    <row r="42" spans="1:13" x14ac:dyDescent="0.35">
      <c r="A42">
        <v>1041</v>
      </c>
      <c r="B42" s="1">
        <v>45963</v>
      </c>
      <c r="C42">
        <v>9</v>
      </c>
      <c r="D42">
        <v>36</v>
      </c>
      <c r="E42">
        <v>12</v>
      </c>
      <c r="F42">
        <v>3</v>
      </c>
      <c r="G42" s="2">
        <f>Table4[[#This Row],[gross_amount]]/Table4[[#This Row],[quantity]]</f>
        <v>180</v>
      </c>
      <c r="H42" s="2">
        <f>Table4[[#This Row],[total_amount]]/(1-Table4[[#This Row],[discount_pct]]/100)</f>
        <v>540</v>
      </c>
      <c r="I42">
        <v>20</v>
      </c>
      <c r="J42" s="2">
        <v>432</v>
      </c>
      <c r="K42" t="s">
        <v>322</v>
      </c>
      <c r="L42" s="2">
        <f>Table4[[#This Row],[total_amount]]*Table4[[#This Row],[refund_count]]</f>
        <v>0</v>
      </c>
      <c r="M42">
        <v>0</v>
      </c>
    </row>
    <row r="43" spans="1:13" x14ac:dyDescent="0.35">
      <c r="A43">
        <v>1042</v>
      </c>
      <c r="B43" s="1">
        <v>45963</v>
      </c>
      <c r="C43">
        <v>3</v>
      </c>
      <c r="D43">
        <v>76</v>
      </c>
      <c r="E43">
        <v>6</v>
      </c>
      <c r="F43">
        <v>1</v>
      </c>
      <c r="G43" s="2">
        <f>Table4[[#This Row],[gross_amount]]/Table4[[#This Row],[quantity]]</f>
        <v>170</v>
      </c>
      <c r="H43" s="2">
        <f>Table4[[#This Row],[total_amount]]/(1-Table4[[#This Row],[discount_pct]]/100)</f>
        <v>170</v>
      </c>
      <c r="I43">
        <v>20</v>
      </c>
      <c r="J43" s="2">
        <v>136</v>
      </c>
      <c r="K43" t="s">
        <v>322</v>
      </c>
      <c r="L43" s="2">
        <f>Table4[[#This Row],[total_amount]]*Table4[[#This Row],[refund_count]]</f>
        <v>0</v>
      </c>
      <c r="M43">
        <v>0</v>
      </c>
    </row>
    <row r="44" spans="1:13" x14ac:dyDescent="0.35">
      <c r="A44">
        <v>1043</v>
      </c>
      <c r="B44" s="1">
        <v>45963</v>
      </c>
      <c r="C44">
        <v>4</v>
      </c>
      <c r="D44">
        <v>67</v>
      </c>
      <c r="E44">
        <v>7</v>
      </c>
      <c r="F44">
        <v>3</v>
      </c>
      <c r="G44" s="2">
        <f>Table4[[#This Row],[gross_amount]]/Table4[[#This Row],[quantity]]</f>
        <v>180</v>
      </c>
      <c r="H44" s="2">
        <f>Table4[[#This Row],[total_amount]]/(1-Table4[[#This Row],[discount_pct]]/100)</f>
        <v>540</v>
      </c>
      <c r="I44">
        <v>5</v>
      </c>
      <c r="J44" s="2">
        <v>513</v>
      </c>
      <c r="K44" t="s">
        <v>320</v>
      </c>
      <c r="L44" s="2">
        <f>Table4[[#This Row],[total_amount]]*Table4[[#This Row],[refund_count]]</f>
        <v>0</v>
      </c>
      <c r="M44">
        <v>0</v>
      </c>
    </row>
    <row r="45" spans="1:13" x14ac:dyDescent="0.35">
      <c r="A45">
        <v>1044</v>
      </c>
      <c r="B45" s="1">
        <v>45963</v>
      </c>
      <c r="C45">
        <v>7</v>
      </c>
      <c r="D45">
        <v>199</v>
      </c>
      <c r="E45">
        <v>5</v>
      </c>
      <c r="F45">
        <v>3</v>
      </c>
      <c r="G45" s="2">
        <f>Table4[[#This Row],[gross_amount]]/Table4[[#This Row],[quantity]]</f>
        <v>160</v>
      </c>
      <c r="H45" s="2">
        <f>Table4[[#This Row],[total_amount]]/(1-Table4[[#This Row],[discount_pct]]/100)</f>
        <v>480</v>
      </c>
      <c r="I45">
        <v>10</v>
      </c>
      <c r="J45" s="2">
        <v>432</v>
      </c>
      <c r="K45" t="s">
        <v>322</v>
      </c>
      <c r="L45" s="2">
        <f>Table4[[#This Row],[total_amount]]*Table4[[#This Row],[refund_count]]</f>
        <v>0</v>
      </c>
      <c r="M45">
        <v>0</v>
      </c>
    </row>
    <row r="46" spans="1:13" x14ac:dyDescent="0.35">
      <c r="A46">
        <v>1045</v>
      </c>
      <c r="B46" s="1">
        <v>45993</v>
      </c>
      <c r="C46">
        <v>10</v>
      </c>
      <c r="D46">
        <v>65</v>
      </c>
      <c r="E46">
        <v>10</v>
      </c>
      <c r="F46">
        <v>3</v>
      </c>
      <c r="G46" s="2">
        <f>Table4[[#This Row],[gross_amount]]/Table4[[#This Row],[quantity]]</f>
        <v>150</v>
      </c>
      <c r="H46" s="2">
        <f>Table4[[#This Row],[total_amount]]/(1-Table4[[#This Row],[discount_pct]]/100)</f>
        <v>450</v>
      </c>
      <c r="I46">
        <v>10</v>
      </c>
      <c r="J46" s="2">
        <v>405</v>
      </c>
      <c r="K46" t="s">
        <v>320</v>
      </c>
      <c r="L46" s="2">
        <f>Table4[[#This Row],[total_amount]]*Table4[[#This Row],[refund_count]]</f>
        <v>0</v>
      </c>
      <c r="M46">
        <v>0</v>
      </c>
    </row>
    <row r="47" spans="1:13" x14ac:dyDescent="0.35">
      <c r="A47">
        <v>1046</v>
      </c>
      <c r="B47" s="1">
        <v>45993</v>
      </c>
      <c r="C47">
        <v>3</v>
      </c>
      <c r="D47">
        <v>210</v>
      </c>
      <c r="E47">
        <v>1</v>
      </c>
      <c r="F47">
        <v>1</v>
      </c>
      <c r="G47" s="2">
        <f>Table4[[#This Row],[gross_amount]]/Table4[[#This Row],[quantity]]</f>
        <v>180</v>
      </c>
      <c r="H47" s="2">
        <f>Table4[[#This Row],[total_amount]]/(1-Table4[[#This Row],[discount_pct]]/100)</f>
        <v>180</v>
      </c>
      <c r="I47">
        <v>0</v>
      </c>
      <c r="J47" s="2">
        <v>180</v>
      </c>
      <c r="K47" t="s">
        <v>322</v>
      </c>
      <c r="L47" s="2">
        <f>Table4[[#This Row],[total_amount]]*Table4[[#This Row],[refund_count]]</f>
        <v>0</v>
      </c>
      <c r="M47">
        <v>0</v>
      </c>
    </row>
    <row r="48" spans="1:13" x14ac:dyDescent="0.35">
      <c r="A48">
        <v>1047</v>
      </c>
      <c r="B48" s="1">
        <v>45993</v>
      </c>
      <c r="C48">
        <v>2</v>
      </c>
      <c r="D48">
        <v>1</v>
      </c>
      <c r="E48">
        <v>14</v>
      </c>
      <c r="F48">
        <v>3</v>
      </c>
      <c r="G48" s="2">
        <f>Table4[[#This Row],[gross_amount]]/Table4[[#This Row],[quantity]]</f>
        <v>150</v>
      </c>
      <c r="H48" s="2">
        <f>Table4[[#This Row],[total_amount]]/(1-Table4[[#This Row],[discount_pct]]/100)</f>
        <v>450</v>
      </c>
      <c r="I48">
        <v>0</v>
      </c>
      <c r="J48" s="2">
        <v>450</v>
      </c>
      <c r="K48" t="s">
        <v>321</v>
      </c>
      <c r="L48" s="2">
        <f>Table4[[#This Row],[total_amount]]*Table4[[#This Row],[refund_count]]</f>
        <v>0</v>
      </c>
      <c r="M48">
        <v>0</v>
      </c>
    </row>
    <row r="49" spans="1:13" x14ac:dyDescent="0.35">
      <c r="A49">
        <v>1048</v>
      </c>
      <c r="B49" s="1">
        <v>45993</v>
      </c>
      <c r="C49">
        <v>2</v>
      </c>
      <c r="D49">
        <v>1</v>
      </c>
      <c r="E49">
        <v>3</v>
      </c>
      <c r="F49">
        <v>2</v>
      </c>
      <c r="G49" s="2">
        <f>Table4[[#This Row],[gross_amount]]/Table4[[#This Row],[quantity]]</f>
        <v>180</v>
      </c>
      <c r="H49" s="2">
        <f>Table4[[#This Row],[total_amount]]/(1-Table4[[#This Row],[discount_pct]]/100)</f>
        <v>360</v>
      </c>
      <c r="I49">
        <v>0</v>
      </c>
      <c r="J49" s="2">
        <v>360</v>
      </c>
      <c r="K49" t="s">
        <v>321</v>
      </c>
      <c r="L49" s="2">
        <f>Table4[[#This Row],[total_amount]]*Table4[[#This Row],[refund_count]]</f>
        <v>0</v>
      </c>
      <c r="M49">
        <v>0</v>
      </c>
    </row>
    <row r="50" spans="1:13" x14ac:dyDescent="0.35">
      <c r="A50">
        <v>1049</v>
      </c>
      <c r="B50" s="1">
        <v>45660</v>
      </c>
      <c r="C50">
        <v>5</v>
      </c>
      <c r="D50">
        <v>109</v>
      </c>
      <c r="E50">
        <v>11</v>
      </c>
      <c r="F50">
        <v>2</v>
      </c>
      <c r="G50" s="2">
        <f>Table4[[#This Row],[gross_amount]]/Table4[[#This Row],[quantity]]</f>
        <v>160</v>
      </c>
      <c r="H50" s="2">
        <f>Table4[[#This Row],[total_amount]]/(1-Table4[[#This Row],[discount_pct]]/100)</f>
        <v>320</v>
      </c>
      <c r="I50">
        <v>5</v>
      </c>
      <c r="J50" s="2">
        <v>304</v>
      </c>
      <c r="K50" t="s">
        <v>255</v>
      </c>
      <c r="L50" s="2">
        <f>Table4[[#This Row],[total_amount]]*Table4[[#This Row],[refund_count]]</f>
        <v>0</v>
      </c>
      <c r="M50">
        <v>0</v>
      </c>
    </row>
    <row r="51" spans="1:13" x14ac:dyDescent="0.35">
      <c r="A51">
        <v>1050</v>
      </c>
      <c r="B51" s="1">
        <v>45660</v>
      </c>
      <c r="C51">
        <v>5</v>
      </c>
      <c r="D51">
        <v>99</v>
      </c>
      <c r="E51">
        <v>10</v>
      </c>
      <c r="F51">
        <v>1</v>
      </c>
      <c r="G51" s="2">
        <f>Table4[[#This Row],[gross_amount]]/Table4[[#This Row],[quantity]]</f>
        <v>150</v>
      </c>
      <c r="H51" s="2">
        <f>Table4[[#This Row],[total_amount]]/(1-Table4[[#This Row],[discount_pct]]/100)</f>
        <v>150</v>
      </c>
      <c r="I51">
        <v>10</v>
      </c>
      <c r="J51" s="2">
        <v>135</v>
      </c>
      <c r="K51" t="s">
        <v>322</v>
      </c>
      <c r="L51" s="2">
        <f>Table4[[#This Row],[total_amount]]*Table4[[#This Row],[refund_count]]</f>
        <v>0</v>
      </c>
      <c r="M51">
        <v>0</v>
      </c>
    </row>
    <row r="52" spans="1:13" x14ac:dyDescent="0.35">
      <c r="A52">
        <v>1051</v>
      </c>
      <c r="B52" s="1">
        <v>45660</v>
      </c>
      <c r="C52">
        <v>4</v>
      </c>
      <c r="D52">
        <v>136</v>
      </c>
      <c r="E52">
        <v>1</v>
      </c>
      <c r="F52">
        <v>1</v>
      </c>
      <c r="G52" s="2">
        <f>Table4[[#This Row],[gross_amount]]/Table4[[#This Row],[quantity]]</f>
        <v>180</v>
      </c>
      <c r="H52" s="2">
        <f>Table4[[#This Row],[total_amount]]/(1-Table4[[#This Row],[discount_pct]]/100)</f>
        <v>180</v>
      </c>
      <c r="I52">
        <v>5</v>
      </c>
      <c r="J52" s="2">
        <v>171</v>
      </c>
      <c r="K52" t="s">
        <v>322</v>
      </c>
      <c r="L52" s="2">
        <f>Table4[[#This Row],[total_amount]]*Table4[[#This Row],[refund_count]]</f>
        <v>0</v>
      </c>
      <c r="M52">
        <v>0</v>
      </c>
    </row>
    <row r="53" spans="1:13" x14ac:dyDescent="0.35">
      <c r="A53">
        <v>1052</v>
      </c>
      <c r="B53" s="1">
        <v>45660</v>
      </c>
      <c r="C53">
        <v>4</v>
      </c>
      <c r="D53">
        <v>2</v>
      </c>
      <c r="E53">
        <v>13</v>
      </c>
      <c r="F53">
        <v>3</v>
      </c>
      <c r="G53" s="2">
        <f>Table4[[#This Row],[gross_amount]]/Table4[[#This Row],[quantity]]</f>
        <v>150</v>
      </c>
      <c r="H53" s="2">
        <f>Table4[[#This Row],[total_amount]]/(1-Table4[[#This Row],[discount_pct]]/100)</f>
        <v>450</v>
      </c>
      <c r="I53">
        <v>10</v>
      </c>
      <c r="J53" s="2">
        <v>405</v>
      </c>
      <c r="K53" t="s">
        <v>320</v>
      </c>
      <c r="L53" s="2">
        <f>Table4[[#This Row],[total_amount]]*Table4[[#This Row],[refund_count]]</f>
        <v>0</v>
      </c>
      <c r="M53">
        <v>0</v>
      </c>
    </row>
    <row r="54" spans="1:13" x14ac:dyDescent="0.35">
      <c r="A54">
        <v>1053</v>
      </c>
      <c r="B54" s="1">
        <v>45691</v>
      </c>
      <c r="C54">
        <v>6</v>
      </c>
      <c r="D54">
        <v>202</v>
      </c>
      <c r="E54">
        <v>10</v>
      </c>
      <c r="F54">
        <v>1</v>
      </c>
      <c r="G54" s="2">
        <f>Table4[[#This Row],[gross_amount]]/Table4[[#This Row],[quantity]]</f>
        <v>150</v>
      </c>
      <c r="H54" s="2">
        <f>Table4[[#This Row],[total_amount]]/(1-Table4[[#This Row],[discount_pct]]/100)</f>
        <v>150</v>
      </c>
      <c r="I54">
        <v>0</v>
      </c>
      <c r="J54" s="2">
        <v>150</v>
      </c>
      <c r="K54" t="s">
        <v>255</v>
      </c>
      <c r="L54" s="2">
        <f>Table4[[#This Row],[total_amount]]*Table4[[#This Row],[refund_count]]</f>
        <v>0</v>
      </c>
      <c r="M54">
        <v>0</v>
      </c>
    </row>
    <row r="55" spans="1:13" x14ac:dyDescent="0.35">
      <c r="A55">
        <v>1054</v>
      </c>
      <c r="B55" s="1">
        <v>45691</v>
      </c>
      <c r="C55">
        <v>3</v>
      </c>
      <c r="D55">
        <v>150</v>
      </c>
      <c r="E55">
        <v>19</v>
      </c>
      <c r="F55">
        <v>3</v>
      </c>
      <c r="G55" s="2">
        <f>Table4[[#This Row],[gross_amount]]/Table4[[#This Row],[quantity]]</f>
        <v>151.57894736842107</v>
      </c>
      <c r="H55" s="2">
        <f>Table4[[#This Row],[total_amount]]/(1-Table4[[#This Row],[discount_pct]]/100)</f>
        <v>454.73684210526318</v>
      </c>
      <c r="I55">
        <v>5</v>
      </c>
      <c r="J55" s="2">
        <v>432</v>
      </c>
      <c r="K55" t="s">
        <v>320</v>
      </c>
      <c r="L55" s="2">
        <f>Table4[[#This Row],[total_amount]]*Table4[[#This Row],[refund_count]]</f>
        <v>0</v>
      </c>
      <c r="M55">
        <v>0</v>
      </c>
    </row>
    <row r="56" spans="1:13" x14ac:dyDescent="0.35">
      <c r="A56">
        <v>1055</v>
      </c>
      <c r="B56" s="1">
        <v>45691</v>
      </c>
      <c r="C56">
        <v>5</v>
      </c>
      <c r="D56">
        <v>60</v>
      </c>
      <c r="E56">
        <v>3</v>
      </c>
      <c r="F56">
        <v>3</v>
      </c>
      <c r="G56" s="2">
        <f>Table4[[#This Row],[gross_amount]]/Table4[[#This Row],[quantity]]</f>
        <v>140</v>
      </c>
      <c r="H56" s="2">
        <f>Table4[[#This Row],[total_amount]]/(1-Table4[[#This Row],[discount_pct]]/100)</f>
        <v>420</v>
      </c>
      <c r="I56">
        <v>10</v>
      </c>
      <c r="J56" s="2">
        <v>378</v>
      </c>
      <c r="K56" t="s">
        <v>321</v>
      </c>
      <c r="L56" s="2">
        <f>Table4[[#This Row],[total_amount]]*Table4[[#This Row],[refund_count]]</f>
        <v>0</v>
      </c>
      <c r="M56">
        <v>0</v>
      </c>
    </row>
    <row r="57" spans="1:13" x14ac:dyDescent="0.35">
      <c r="A57">
        <v>1056</v>
      </c>
      <c r="B57" s="1">
        <v>45691</v>
      </c>
      <c r="C57">
        <v>10</v>
      </c>
      <c r="D57">
        <v>32</v>
      </c>
      <c r="E57">
        <v>11</v>
      </c>
      <c r="F57">
        <v>3</v>
      </c>
      <c r="G57" s="2">
        <f>Table4[[#This Row],[gross_amount]]/Table4[[#This Row],[quantity]]</f>
        <v>80</v>
      </c>
      <c r="H57" s="2">
        <f>Table4[[#This Row],[total_amount]]/(1-Table4[[#This Row],[discount_pct]]/100)</f>
        <v>240</v>
      </c>
      <c r="I57">
        <v>0</v>
      </c>
      <c r="J57" s="2">
        <v>240</v>
      </c>
      <c r="K57" t="s">
        <v>322</v>
      </c>
      <c r="L57" s="2">
        <f>Table4[[#This Row],[total_amount]]*Table4[[#This Row],[refund_count]]</f>
        <v>0</v>
      </c>
      <c r="M57">
        <v>0</v>
      </c>
    </row>
    <row r="58" spans="1:13" x14ac:dyDescent="0.35">
      <c r="A58">
        <v>1057</v>
      </c>
      <c r="B58" s="1">
        <v>45719</v>
      </c>
      <c r="C58">
        <v>3</v>
      </c>
      <c r="D58">
        <v>11</v>
      </c>
      <c r="E58">
        <v>5</v>
      </c>
      <c r="F58">
        <v>2</v>
      </c>
      <c r="G58" s="2">
        <f>Table4[[#This Row],[gross_amount]]/Table4[[#This Row],[quantity]]</f>
        <v>160</v>
      </c>
      <c r="H58" s="2">
        <f>Table4[[#This Row],[total_amount]]/(1-Table4[[#This Row],[discount_pct]]/100)</f>
        <v>320</v>
      </c>
      <c r="I58">
        <v>0</v>
      </c>
      <c r="J58" s="2">
        <v>320</v>
      </c>
      <c r="K58" t="s">
        <v>320</v>
      </c>
      <c r="L58" s="2">
        <f>Table4[[#This Row],[total_amount]]*Table4[[#This Row],[refund_count]]</f>
        <v>0</v>
      </c>
      <c r="M58">
        <v>0</v>
      </c>
    </row>
    <row r="59" spans="1:13" x14ac:dyDescent="0.35">
      <c r="A59">
        <v>1058</v>
      </c>
      <c r="B59" s="1">
        <v>45719</v>
      </c>
      <c r="C59">
        <v>7</v>
      </c>
      <c r="D59">
        <v>51</v>
      </c>
      <c r="E59">
        <v>6</v>
      </c>
      <c r="F59">
        <v>3</v>
      </c>
      <c r="G59" s="2">
        <f>Table4[[#This Row],[gross_amount]]/Table4[[#This Row],[quantity]]</f>
        <v>180</v>
      </c>
      <c r="H59" s="2">
        <f>Table4[[#This Row],[total_amount]]/(1-Table4[[#This Row],[discount_pct]]/100)</f>
        <v>540</v>
      </c>
      <c r="I59">
        <v>0</v>
      </c>
      <c r="J59" s="2">
        <v>540</v>
      </c>
      <c r="K59" t="s">
        <v>320</v>
      </c>
      <c r="L59" s="2">
        <f>Table4[[#This Row],[total_amount]]*Table4[[#This Row],[refund_count]]</f>
        <v>0</v>
      </c>
      <c r="M59">
        <v>0</v>
      </c>
    </row>
    <row r="60" spans="1:13" x14ac:dyDescent="0.35">
      <c r="A60">
        <v>1059</v>
      </c>
      <c r="B60" s="1">
        <v>45719</v>
      </c>
      <c r="C60">
        <v>6</v>
      </c>
      <c r="D60">
        <v>1</v>
      </c>
      <c r="E60">
        <v>8</v>
      </c>
      <c r="F60">
        <v>3</v>
      </c>
      <c r="G60" s="2">
        <f>Table4[[#This Row],[gross_amount]]/Table4[[#This Row],[quantity]]</f>
        <v>160</v>
      </c>
      <c r="H60" s="2">
        <f>Table4[[#This Row],[total_amount]]/(1-Table4[[#This Row],[discount_pct]]/100)</f>
        <v>480</v>
      </c>
      <c r="I60">
        <v>0</v>
      </c>
      <c r="J60" s="2">
        <v>480</v>
      </c>
      <c r="K60" t="s">
        <v>320</v>
      </c>
      <c r="L60" s="2">
        <f>Table4[[#This Row],[total_amount]]*Table4[[#This Row],[refund_count]]</f>
        <v>0</v>
      </c>
      <c r="M60">
        <v>0</v>
      </c>
    </row>
    <row r="61" spans="1:13" x14ac:dyDescent="0.35">
      <c r="A61">
        <v>1060</v>
      </c>
      <c r="B61" s="1">
        <v>45719</v>
      </c>
      <c r="C61">
        <v>5</v>
      </c>
      <c r="D61">
        <v>102</v>
      </c>
      <c r="E61">
        <v>8</v>
      </c>
      <c r="F61">
        <v>2</v>
      </c>
      <c r="G61" s="2">
        <f>Table4[[#This Row],[gross_amount]]/Table4[[#This Row],[quantity]]</f>
        <v>160</v>
      </c>
      <c r="H61" s="2">
        <f>Table4[[#This Row],[total_amount]]/(1-Table4[[#This Row],[discount_pct]]/100)</f>
        <v>320</v>
      </c>
      <c r="I61">
        <v>0</v>
      </c>
      <c r="J61" s="2">
        <v>320</v>
      </c>
      <c r="K61" t="s">
        <v>321</v>
      </c>
      <c r="L61" s="2">
        <f>Table4[[#This Row],[total_amount]]*Table4[[#This Row],[refund_count]]</f>
        <v>0</v>
      </c>
      <c r="M61">
        <v>0</v>
      </c>
    </row>
    <row r="62" spans="1:13" x14ac:dyDescent="0.35">
      <c r="A62">
        <v>1061</v>
      </c>
      <c r="B62" s="1">
        <v>45750</v>
      </c>
      <c r="C62">
        <v>6</v>
      </c>
      <c r="D62">
        <v>104</v>
      </c>
      <c r="E62">
        <v>18</v>
      </c>
      <c r="F62">
        <v>3</v>
      </c>
      <c r="G62" s="2">
        <f>Table4[[#This Row],[gross_amount]]/Table4[[#This Row],[quantity]]</f>
        <v>170</v>
      </c>
      <c r="H62" s="2">
        <f>Table4[[#This Row],[total_amount]]/(1-Table4[[#This Row],[discount_pct]]/100)</f>
        <v>510</v>
      </c>
      <c r="I62">
        <v>15</v>
      </c>
      <c r="J62" s="2">
        <v>433.5</v>
      </c>
      <c r="K62" t="s">
        <v>322</v>
      </c>
      <c r="L62" s="2">
        <f>Table4[[#This Row],[total_amount]]*Table4[[#This Row],[refund_count]]</f>
        <v>0</v>
      </c>
      <c r="M62">
        <v>0</v>
      </c>
    </row>
    <row r="63" spans="1:13" x14ac:dyDescent="0.35">
      <c r="A63">
        <v>1062</v>
      </c>
      <c r="B63" s="1">
        <v>45750</v>
      </c>
      <c r="C63">
        <v>2</v>
      </c>
      <c r="D63">
        <v>216</v>
      </c>
      <c r="E63">
        <v>13</v>
      </c>
      <c r="F63">
        <v>2</v>
      </c>
      <c r="G63" s="2">
        <f>Table4[[#This Row],[gross_amount]]/Table4[[#This Row],[quantity]]</f>
        <v>200</v>
      </c>
      <c r="H63" s="2">
        <f>Table4[[#This Row],[total_amount]]/(1-Table4[[#This Row],[discount_pct]]/100)</f>
        <v>400</v>
      </c>
      <c r="I63">
        <v>10</v>
      </c>
      <c r="J63" s="2">
        <v>360</v>
      </c>
      <c r="K63" t="s">
        <v>321</v>
      </c>
      <c r="L63" s="2">
        <f>Table4[[#This Row],[total_amount]]*Table4[[#This Row],[refund_count]]</f>
        <v>0</v>
      </c>
      <c r="M63">
        <v>0</v>
      </c>
    </row>
    <row r="64" spans="1:13" x14ac:dyDescent="0.35">
      <c r="A64">
        <v>1063</v>
      </c>
      <c r="B64" s="1">
        <v>45750</v>
      </c>
      <c r="C64">
        <v>8</v>
      </c>
      <c r="D64">
        <v>176</v>
      </c>
      <c r="E64">
        <v>13</v>
      </c>
      <c r="F64">
        <v>3</v>
      </c>
      <c r="G64" s="2">
        <f>Table4[[#This Row],[gross_amount]]/Table4[[#This Row],[quantity]]</f>
        <v>200</v>
      </c>
      <c r="H64" s="2">
        <f>Table4[[#This Row],[total_amount]]/(1-Table4[[#This Row],[discount_pct]]/100)</f>
        <v>600</v>
      </c>
      <c r="I64">
        <v>0</v>
      </c>
      <c r="J64" s="2">
        <v>600</v>
      </c>
      <c r="K64" t="s">
        <v>255</v>
      </c>
      <c r="L64" s="2">
        <f>Table4[[#This Row],[total_amount]]*Table4[[#This Row],[refund_count]]</f>
        <v>0</v>
      </c>
      <c r="M64">
        <v>0</v>
      </c>
    </row>
    <row r="65" spans="1:13" x14ac:dyDescent="0.35">
      <c r="A65">
        <v>1064</v>
      </c>
      <c r="B65" s="1">
        <v>45750</v>
      </c>
      <c r="C65">
        <v>9</v>
      </c>
      <c r="D65">
        <v>108</v>
      </c>
      <c r="E65">
        <v>10</v>
      </c>
      <c r="F65">
        <v>2</v>
      </c>
      <c r="G65" s="2">
        <f>Table4[[#This Row],[gross_amount]]/Table4[[#This Row],[quantity]]</f>
        <v>150</v>
      </c>
      <c r="H65" s="2">
        <f>Table4[[#This Row],[total_amount]]/(1-Table4[[#This Row],[discount_pct]]/100)</f>
        <v>300</v>
      </c>
      <c r="I65">
        <v>15</v>
      </c>
      <c r="J65" s="2">
        <v>255</v>
      </c>
      <c r="K65" t="s">
        <v>321</v>
      </c>
      <c r="L65" s="2">
        <f>Table4[[#This Row],[total_amount]]*Table4[[#This Row],[refund_count]]</f>
        <v>0</v>
      </c>
      <c r="M65">
        <v>0</v>
      </c>
    </row>
    <row r="66" spans="1:13" x14ac:dyDescent="0.35">
      <c r="A66">
        <v>1065</v>
      </c>
      <c r="B66" s="1">
        <v>45780</v>
      </c>
      <c r="C66">
        <v>2</v>
      </c>
      <c r="D66">
        <v>54</v>
      </c>
      <c r="E66">
        <v>9</v>
      </c>
      <c r="F66">
        <v>1</v>
      </c>
      <c r="G66" s="2">
        <f>Table4[[#This Row],[gross_amount]]/Table4[[#This Row],[quantity]]</f>
        <v>190</v>
      </c>
      <c r="H66" s="2">
        <f>Table4[[#This Row],[total_amount]]/(1-Table4[[#This Row],[discount_pct]]/100)</f>
        <v>190</v>
      </c>
      <c r="I66">
        <v>20</v>
      </c>
      <c r="J66" s="2">
        <v>152</v>
      </c>
      <c r="K66" t="s">
        <v>322</v>
      </c>
      <c r="L66" s="2">
        <f>Table4[[#This Row],[total_amount]]*Table4[[#This Row],[refund_count]]</f>
        <v>0</v>
      </c>
      <c r="M66">
        <v>0</v>
      </c>
    </row>
    <row r="67" spans="1:13" x14ac:dyDescent="0.35">
      <c r="A67">
        <v>1066</v>
      </c>
      <c r="B67" s="1">
        <v>45780</v>
      </c>
      <c r="C67">
        <v>7</v>
      </c>
      <c r="D67">
        <v>34</v>
      </c>
      <c r="E67">
        <v>7</v>
      </c>
      <c r="F67">
        <v>2</v>
      </c>
      <c r="G67" s="2">
        <f>Table4[[#This Row],[gross_amount]]/Table4[[#This Row],[quantity]]</f>
        <v>150</v>
      </c>
      <c r="H67" s="2">
        <f>Table4[[#This Row],[total_amount]]/(1-Table4[[#This Row],[discount_pct]]/100)</f>
        <v>300</v>
      </c>
      <c r="I67">
        <v>0</v>
      </c>
      <c r="J67" s="2">
        <v>300</v>
      </c>
      <c r="K67" t="s">
        <v>322</v>
      </c>
      <c r="L67" s="2">
        <f>Table4[[#This Row],[total_amount]]*Table4[[#This Row],[refund_count]]</f>
        <v>0</v>
      </c>
      <c r="M67">
        <v>0</v>
      </c>
    </row>
    <row r="68" spans="1:13" x14ac:dyDescent="0.35">
      <c r="A68">
        <v>1067</v>
      </c>
      <c r="B68" s="1">
        <v>45780</v>
      </c>
      <c r="C68">
        <v>3</v>
      </c>
      <c r="D68">
        <v>224</v>
      </c>
      <c r="E68">
        <v>11</v>
      </c>
      <c r="F68">
        <v>3</v>
      </c>
      <c r="G68" s="2">
        <f>Table4[[#This Row],[gross_amount]]/Table4[[#This Row],[quantity]]</f>
        <v>106.66666666666667</v>
      </c>
      <c r="H68" s="2">
        <f>Table4[[#This Row],[total_amount]]/(1-Table4[[#This Row],[discount_pct]]/100)</f>
        <v>320</v>
      </c>
      <c r="I68">
        <v>20</v>
      </c>
      <c r="J68" s="2">
        <v>256</v>
      </c>
      <c r="K68" t="s">
        <v>322</v>
      </c>
      <c r="L68" s="2">
        <f>Table4[[#This Row],[total_amount]]*Table4[[#This Row],[refund_count]]</f>
        <v>0</v>
      </c>
      <c r="M68">
        <v>0</v>
      </c>
    </row>
    <row r="69" spans="1:13" x14ac:dyDescent="0.35">
      <c r="A69">
        <v>1068</v>
      </c>
      <c r="B69" s="1">
        <v>45780</v>
      </c>
      <c r="C69">
        <v>7</v>
      </c>
      <c r="D69">
        <v>83</v>
      </c>
      <c r="E69">
        <v>12</v>
      </c>
      <c r="F69">
        <v>1</v>
      </c>
      <c r="G69" s="2">
        <f>Table4[[#This Row],[gross_amount]]/Table4[[#This Row],[quantity]]</f>
        <v>160</v>
      </c>
      <c r="H69" s="2">
        <f>Table4[[#This Row],[total_amount]]/(1-Table4[[#This Row],[discount_pct]]/100)</f>
        <v>160</v>
      </c>
      <c r="I69">
        <v>0</v>
      </c>
      <c r="J69" s="2">
        <v>160</v>
      </c>
      <c r="K69" t="s">
        <v>321</v>
      </c>
      <c r="L69" s="2">
        <f>Table4[[#This Row],[total_amount]]*Table4[[#This Row],[refund_count]]</f>
        <v>0</v>
      </c>
      <c r="M69">
        <v>0</v>
      </c>
    </row>
    <row r="70" spans="1:13" x14ac:dyDescent="0.35">
      <c r="A70">
        <v>1069</v>
      </c>
      <c r="B70" s="1">
        <v>45811</v>
      </c>
      <c r="C70">
        <v>9</v>
      </c>
      <c r="D70">
        <v>91</v>
      </c>
      <c r="E70">
        <v>16</v>
      </c>
      <c r="F70">
        <v>2</v>
      </c>
      <c r="G70" s="2">
        <f>Table4[[#This Row],[gross_amount]]/Table4[[#This Row],[quantity]]</f>
        <v>160</v>
      </c>
      <c r="H70" s="2">
        <f>Table4[[#This Row],[total_amount]]/(1-Table4[[#This Row],[discount_pct]]/100)</f>
        <v>320</v>
      </c>
      <c r="I70">
        <v>20</v>
      </c>
      <c r="J70" s="2">
        <v>256</v>
      </c>
      <c r="K70" t="s">
        <v>322</v>
      </c>
      <c r="L70" s="2">
        <f>Table4[[#This Row],[total_amount]]*Table4[[#This Row],[refund_count]]</f>
        <v>0</v>
      </c>
      <c r="M70">
        <v>0</v>
      </c>
    </row>
    <row r="71" spans="1:13" x14ac:dyDescent="0.35">
      <c r="A71">
        <v>1070</v>
      </c>
      <c r="B71" s="1">
        <v>45811</v>
      </c>
      <c r="C71">
        <v>8</v>
      </c>
      <c r="D71">
        <v>151</v>
      </c>
      <c r="E71">
        <v>20</v>
      </c>
      <c r="F71">
        <v>1</v>
      </c>
      <c r="G71" s="2">
        <f>Table4[[#This Row],[gross_amount]]/Table4[[#This Row],[quantity]]</f>
        <v>200</v>
      </c>
      <c r="H71" s="2">
        <f>Table4[[#This Row],[total_amount]]/(1-Table4[[#This Row],[discount_pct]]/100)</f>
        <v>200</v>
      </c>
      <c r="I71">
        <v>15</v>
      </c>
      <c r="J71" s="2">
        <v>170</v>
      </c>
      <c r="K71" t="s">
        <v>322</v>
      </c>
      <c r="L71" s="2">
        <f>Table4[[#This Row],[total_amount]]*Table4[[#This Row],[refund_count]]</f>
        <v>0</v>
      </c>
      <c r="M71">
        <v>0</v>
      </c>
    </row>
    <row r="72" spans="1:13" x14ac:dyDescent="0.35">
      <c r="A72">
        <v>1071</v>
      </c>
      <c r="B72" s="1">
        <v>45811</v>
      </c>
      <c r="C72">
        <v>5</v>
      </c>
      <c r="D72">
        <v>216</v>
      </c>
      <c r="E72">
        <v>4</v>
      </c>
      <c r="F72">
        <v>3</v>
      </c>
      <c r="G72" s="2">
        <f>Table4[[#This Row],[gross_amount]]/Table4[[#This Row],[quantity]]</f>
        <v>150</v>
      </c>
      <c r="H72" s="2">
        <f>Table4[[#This Row],[total_amount]]/(1-Table4[[#This Row],[discount_pct]]/100)</f>
        <v>450</v>
      </c>
      <c r="I72">
        <v>15</v>
      </c>
      <c r="J72" s="2">
        <v>382.5</v>
      </c>
      <c r="K72" t="s">
        <v>320</v>
      </c>
      <c r="L72" s="2">
        <f>Table4[[#This Row],[total_amount]]*Table4[[#This Row],[refund_count]]</f>
        <v>0</v>
      </c>
      <c r="M72">
        <v>0</v>
      </c>
    </row>
    <row r="73" spans="1:13" x14ac:dyDescent="0.35">
      <c r="A73">
        <v>1072</v>
      </c>
      <c r="B73" s="1">
        <v>45811</v>
      </c>
      <c r="C73">
        <v>8</v>
      </c>
      <c r="D73">
        <v>222</v>
      </c>
      <c r="E73">
        <v>18</v>
      </c>
      <c r="F73">
        <v>1</v>
      </c>
      <c r="G73" s="2">
        <f>Table4[[#This Row],[gross_amount]]/Table4[[#This Row],[quantity]]</f>
        <v>160</v>
      </c>
      <c r="H73" s="2">
        <f>Table4[[#This Row],[total_amount]]/(1-Table4[[#This Row],[discount_pct]]/100)</f>
        <v>160</v>
      </c>
      <c r="I73">
        <v>0</v>
      </c>
      <c r="J73" s="2">
        <v>160</v>
      </c>
      <c r="K73" t="s">
        <v>321</v>
      </c>
      <c r="L73" s="2">
        <f>Table4[[#This Row],[total_amount]]*Table4[[#This Row],[refund_count]]</f>
        <v>0</v>
      </c>
      <c r="M73">
        <v>0</v>
      </c>
    </row>
    <row r="74" spans="1:13" x14ac:dyDescent="0.35">
      <c r="A74">
        <v>1073</v>
      </c>
      <c r="B74" s="1">
        <v>45842</v>
      </c>
      <c r="C74">
        <v>3</v>
      </c>
      <c r="D74">
        <v>178</v>
      </c>
      <c r="E74">
        <v>8</v>
      </c>
      <c r="F74">
        <v>1</v>
      </c>
      <c r="G74" s="2">
        <f>Table4[[#This Row],[gross_amount]]/Table4[[#This Row],[quantity]]</f>
        <v>178.82352941176472</v>
      </c>
      <c r="H74" s="2">
        <f>Table4[[#This Row],[total_amount]]/(1-Table4[[#This Row],[discount_pct]]/100)</f>
        <v>178.82352941176472</v>
      </c>
      <c r="I74">
        <v>15</v>
      </c>
      <c r="J74" s="2">
        <v>152</v>
      </c>
      <c r="K74" t="s">
        <v>255</v>
      </c>
      <c r="L74" s="2">
        <f>Table4[[#This Row],[total_amount]]*Table4[[#This Row],[refund_count]]</f>
        <v>0</v>
      </c>
      <c r="M74">
        <v>0</v>
      </c>
    </row>
    <row r="75" spans="1:13" x14ac:dyDescent="0.35">
      <c r="A75">
        <v>1074</v>
      </c>
      <c r="B75" s="1">
        <v>45842</v>
      </c>
      <c r="C75">
        <v>6</v>
      </c>
      <c r="D75">
        <v>161</v>
      </c>
      <c r="E75">
        <v>6</v>
      </c>
      <c r="F75">
        <v>2</v>
      </c>
      <c r="G75" s="2">
        <f>Table4[[#This Row],[gross_amount]]/Table4[[#This Row],[quantity]]</f>
        <v>160</v>
      </c>
      <c r="H75" s="2">
        <f>Table4[[#This Row],[total_amount]]/(1-Table4[[#This Row],[discount_pct]]/100)</f>
        <v>320</v>
      </c>
      <c r="I75">
        <v>10</v>
      </c>
      <c r="J75" s="2">
        <v>288</v>
      </c>
      <c r="K75" t="s">
        <v>255</v>
      </c>
      <c r="L75" s="2">
        <f>Table4[[#This Row],[total_amount]]*Table4[[#This Row],[refund_count]]</f>
        <v>0</v>
      </c>
      <c r="M75">
        <v>0</v>
      </c>
    </row>
    <row r="76" spans="1:13" x14ac:dyDescent="0.35">
      <c r="A76">
        <v>1075</v>
      </c>
      <c r="B76" s="1">
        <v>45842</v>
      </c>
      <c r="C76">
        <v>10</v>
      </c>
      <c r="D76">
        <v>136</v>
      </c>
      <c r="E76">
        <v>13</v>
      </c>
      <c r="F76">
        <v>1</v>
      </c>
      <c r="G76" s="2">
        <f>Table4[[#This Row],[gross_amount]]/Table4[[#This Row],[quantity]]</f>
        <v>300</v>
      </c>
      <c r="H76" s="2">
        <f>Table4[[#This Row],[total_amount]]/(1-Table4[[#This Row],[discount_pct]]/100)</f>
        <v>300</v>
      </c>
      <c r="I76">
        <v>20</v>
      </c>
      <c r="J76" s="2">
        <v>240</v>
      </c>
      <c r="K76" t="s">
        <v>322</v>
      </c>
      <c r="L76" s="2">
        <f>Table4[[#This Row],[total_amount]]*Table4[[#This Row],[refund_count]]</f>
        <v>0</v>
      </c>
      <c r="M76">
        <v>0</v>
      </c>
    </row>
    <row r="77" spans="1:13" x14ac:dyDescent="0.35">
      <c r="A77">
        <v>1076</v>
      </c>
      <c r="B77" s="1">
        <v>45842</v>
      </c>
      <c r="C77">
        <v>7</v>
      </c>
      <c r="D77">
        <v>53</v>
      </c>
      <c r="E77">
        <v>16</v>
      </c>
      <c r="F77">
        <v>3</v>
      </c>
      <c r="G77" s="2">
        <f>Table4[[#This Row],[gross_amount]]/Table4[[#This Row],[quantity]]</f>
        <v>130</v>
      </c>
      <c r="H77" s="2">
        <f>Table4[[#This Row],[total_amount]]/(1-Table4[[#This Row],[discount_pct]]/100)</f>
        <v>390</v>
      </c>
      <c r="I77">
        <v>10</v>
      </c>
      <c r="J77" s="2">
        <v>351</v>
      </c>
      <c r="K77" t="s">
        <v>322</v>
      </c>
      <c r="L77" s="2">
        <f>Table4[[#This Row],[total_amount]]*Table4[[#This Row],[refund_count]]</f>
        <v>0</v>
      </c>
      <c r="M77">
        <v>0</v>
      </c>
    </row>
    <row r="78" spans="1:13" x14ac:dyDescent="0.35">
      <c r="A78">
        <v>1077</v>
      </c>
      <c r="B78" s="1">
        <v>45873</v>
      </c>
      <c r="C78">
        <v>9</v>
      </c>
      <c r="D78">
        <v>105</v>
      </c>
      <c r="E78">
        <v>4</v>
      </c>
      <c r="F78">
        <v>3</v>
      </c>
      <c r="G78" s="2">
        <f>Table4[[#This Row],[gross_amount]]/Table4[[#This Row],[quantity]]</f>
        <v>150</v>
      </c>
      <c r="H78" s="2">
        <f>Table4[[#This Row],[total_amount]]/(1-Table4[[#This Row],[discount_pct]]/100)</f>
        <v>450</v>
      </c>
      <c r="I78">
        <v>10</v>
      </c>
      <c r="J78" s="2">
        <v>405</v>
      </c>
      <c r="K78" t="s">
        <v>255</v>
      </c>
      <c r="L78" s="2">
        <f>Table4[[#This Row],[total_amount]]*Table4[[#This Row],[refund_count]]</f>
        <v>0</v>
      </c>
      <c r="M78">
        <v>0</v>
      </c>
    </row>
    <row r="79" spans="1:13" x14ac:dyDescent="0.35">
      <c r="A79">
        <v>1078</v>
      </c>
      <c r="B79" s="1">
        <v>45873</v>
      </c>
      <c r="C79">
        <v>4</v>
      </c>
      <c r="D79">
        <v>234</v>
      </c>
      <c r="E79">
        <v>13</v>
      </c>
      <c r="F79">
        <v>2</v>
      </c>
      <c r="G79" s="2">
        <f>Table4[[#This Row],[gross_amount]]/Table4[[#This Row],[quantity]]</f>
        <v>180</v>
      </c>
      <c r="H79" s="2">
        <f>Table4[[#This Row],[total_amount]]/(1-Table4[[#This Row],[discount_pct]]/100)</f>
        <v>360</v>
      </c>
      <c r="I79">
        <v>0</v>
      </c>
      <c r="J79" s="2">
        <v>360</v>
      </c>
      <c r="K79" t="s">
        <v>320</v>
      </c>
      <c r="L79" s="2">
        <f>Table4[[#This Row],[total_amount]]*Table4[[#This Row],[refund_count]]</f>
        <v>0</v>
      </c>
      <c r="M79">
        <v>0</v>
      </c>
    </row>
    <row r="80" spans="1:13" x14ac:dyDescent="0.35">
      <c r="A80">
        <v>1079</v>
      </c>
      <c r="B80" s="1">
        <v>45873</v>
      </c>
      <c r="C80">
        <v>2</v>
      </c>
      <c r="D80">
        <v>167</v>
      </c>
      <c r="E80">
        <v>2</v>
      </c>
      <c r="F80">
        <v>1</v>
      </c>
      <c r="G80" s="2">
        <f>Table4[[#This Row],[gross_amount]]/Table4[[#This Row],[quantity]]</f>
        <v>140</v>
      </c>
      <c r="H80" s="2">
        <f>Table4[[#This Row],[total_amount]]/(1-Table4[[#This Row],[discount_pct]]/100)</f>
        <v>140</v>
      </c>
      <c r="I80">
        <v>10</v>
      </c>
      <c r="J80" s="2">
        <v>126</v>
      </c>
      <c r="K80" t="s">
        <v>320</v>
      </c>
      <c r="L80" s="2">
        <f>Table4[[#This Row],[total_amount]]*Table4[[#This Row],[refund_count]]</f>
        <v>0</v>
      </c>
      <c r="M80">
        <v>0</v>
      </c>
    </row>
    <row r="81" spans="1:13" x14ac:dyDescent="0.35">
      <c r="A81">
        <v>1080</v>
      </c>
      <c r="B81" s="1">
        <v>45873</v>
      </c>
      <c r="C81">
        <v>2</v>
      </c>
      <c r="D81">
        <v>154</v>
      </c>
      <c r="E81">
        <v>5</v>
      </c>
      <c r="F81">
        <v>3</v>
      </c>
      <c r="G81" s="2">
        <f>Table4[[#This Row],[gross_amount]]/Table4[[#This Row],[quantity]]</f>
        <v>160</v>
      </c>
      <c r="H81" s="2">
        <f>Table4[[#This Row],[total_amount]]/(1-Table4[[#This Row],[discount_pct]]/100)</f>
        <v>480</v>
      </c>
      <c r="I81">
        <v>15</v>
      </c>
      <c r="J81" s="2">
        <v>408</v>
      </c>
      <c r="K81" t="s">
        <v>322</v>
      </c>
      <c r="L81" s="2">
        <f>Table4[[#This Row],[total_amount]]*Table4[[#This Row],[refund_count]]</f>
        <v>0</v>
      </c>
      <c r="M81">
        <v>0</v>
      </c>
    </row>
    <row r="82" spans="1:13" x14ac:dyDescent="0.35">
      <c r="A82">
        <v>1081</v>
      </c>
      <c r="B82" s="1">
        <v>45904</v>
      </c>
      <c r="C82">
        <v>6</v>
      </c>
      <c r="D82">
        <v>247</v>
      </c>
      <c r="E82">
        <v>6</v>
      </c>
      <c r="F82">
        <v>3</v>
      </c>
      <c r="G82" s="2">
        <f>Table4[[#This Row],[gross_amount]]/Table4[[#This Row],[quantity]]</f>
        <v>160</v>
      </c>
      <c r="H82" s="2">
        <f>Table4[[#This Row],[total_amount]]/(1-Table4[[#This Row],[discount_pct]]/100)</f>
        <v>480</v>
      </c>
      <c r="I82">
        <v>0</v>
      </c>
      <c r="J82" s="2">
        <v>480</v>
      </c>
      <c r="K82" t="s">
        <v>321</v>
      </c>
      <c r="L82" s="2">
        <f>Table4[[#This Row],[total_amount]]*Table4[[#This Row],[refund_count]]</f>
        <v>0</v>
      </c>
      <c r="M82">
        <v>0</v>
      </c>
    </row>
    <row r="83" spans="1:13" x14ac:dyDescent="0.35">
      <c r="A83">
        <v>1082</v>
      </c>
      <c r="B83" s="1">
        <v>45904</v>
      </c>
      <c r="C83">
        <v>7</v>
      </c>
      <c r="D83">
        <v>40</v>
      </c>
      <c r="E83">
        <v>10</v>
      </c>
      <c r="F83">
        <v>2</v>
      </c>
      <c r="G83" s="2">
        <f>Table4[[#This Row],[gross_amount]]/Table4[[#This Row],[quantity]]</f>
        <v>150</v>
      </c>
      <c r="H83" s="2">
        <f>Table4[[#This Row],[total_amount]]/(1-Table4[[#This Row],[discount_pct]]/100)</f>
        <v>300</v>
      </c>
      <c r="I83">
        <v>10</v>
      </c>
      <c r="J83" s="2">
        <v>270</v>
      </c>
      <c r="K83" t="s">
        <v>320</v>
      </c>
      <c r="L83" s="2">
        <f>Table4[[#This Row],[total_amount]]*Table4[[#This Row],[refund_count]]</f>
        <v>0</v>
      </c>
      <c r="M83">
        <v>0</v>
      </c>
    </row>
    <row r="84" spans="1:13" x14ac:dyDescent="0.35">
      <c r="A84">
        <v>1083</v>
      </c>
      <c r="B84" s="1">
        <v>45904</v>
      </c>
      <c r="C84">
        <v>7</v>
      </c>
      <c r="D84">
        <v>184</v>
      </c>
      <c r="E84">
        <v>8</v>
      </c>
      <c r="F84">
        <v>3</v>
      </c>
      <c r="G84" s="2">
        <f>Table4[[#This Row],[gross_amount]]/Table4[[#This Row],[quantity]]</f>
        <v>160</v>
      </c>
      <c r="H84" s="2">
        <f>Table4[[#This Row],[total_amount]]/(1-Table4[[#This Row],[discount_pct]]/100)</f>
        <v>480</v>
      </c>
      <c r="I84">
        <v>15</v>
      </c>
      <c r="J84" s="2">
        <v>408</v>
      </c>
      <c r="K84" t="s">
        <v>321</v>
      </c>
      <c r="L84" s="2">
        <f>Table4[[#This Row],[total_amount]]*Table4[[#This Row],[refund_count]]</f>
        <v>0</v>
      </c>
      <c r="M84">
        <v>0</v>
      </c>
    </row>
    <row r="85" spans="1:13" x14ac:dyDescent="0.35">
      <c r="A85">
        <v>1084</v>
      </c>
      <c r="B85" s="1">
        <v>45904</v>
      </c>
      <c r="C85">
        <v>5</v>
      </c>
      <c r="D85">
        <v>177</v>
      </c>
      <c r="E85">
        <v>6</v>
      </c>
      <c r="F85">
        <v>2</v>
      </c>
      <c r="G85" s="2">
        <f>Table4[[#This Row],[gross_amount]]/Table4[[#This Row],[quantity]]</f>
        <v>160</v>
      </c>
      <c r="H85" s="2">
        <f>Table4[[#This Row],[total_amount]]/(1-Table4[[#This Row],[discount_pct]]/100)</f>
        <v>320</v>
      </c>
      <c r="I85">
        <v>10</v>
      </c>
      <c r="J85" s="2">
        <v>288</v>
      </c>
      <c r="K85" t="s">
        <v>321</v>
      </c>
      <c r="L85" s="2">
        <f>Table4[[#This Row],[total_amount]]*Table4[[#This Row],[refund_count]]</f>
        <v>0</v>
      </c>
      <c r="M85">
        <v>0</v>
      </c>
    </row>
    <row r="86" spans="1:13" x14ac:dyDescent="0.35">
      <c r="A86">
        <v>1085</v>
      </c>
      <c r="B86" s="1">
        <v>45934</v>
      </c>
      <c r="C86">
        <v>9</v>
      </c>
      <c r="D86">
        <v>220</v>
      </c>
      <c r="E86">
        <v>6</v>
      </c>
      <c r="F86">
        <v>1</v>
      </c>
      <c r="G86" s="2">
        <f>Table4[[#This Row],[gross_amount]]/Table4[[#This Row],[quantity]]</f>
        <v>240</v>
      </c>
      <c r="H86" s="2">
        <f>Table4[[#This Row],[total_amount]]/(1-Table4[[#This Row],[discount_pct]]/100)</f>
        <v>240</v>
      </c>
      <c r="I86">
        <v>15</v>
      </c>
      <c r="J86" s="2">
        <v>204</v>
      </c>
      <c r="K86" t="s">
        <v>321</v>
      </c>
      <c r="L86" s="2">
        <f>Table4[[#This Row],[total_amount]]*Table4[[#This Row],[refund_count]]</f>
        <v>0</v>
      </c>
      <c r="M86">
        <v>0</v>
      </c>
    </row>
    <row r="87" spans="1:13" x14ac:dyDescent="0.35">
      <c r="A87">
        <v>1086</v>
      </c>
      <c r="B87" s="1">
        <v>45934</v>
      </c>
      <c r="C87">
        <v>1</v>
      </c>
      <c r="D87">
        <v>1</v>
      </c>
      <c r="E87">
        <v>17</v>
      </c>
      <c r="F87">
        <v>3</v>
      </c>
      <c r="G87" s="2">
        <f>Table4[[#This Row],[gross_amount]]/Table4[[#This Row],[quantity]]</f>
        <v>150</v>
      </c>
      <c r="H87" s="2">
        <f>Table4[[#This Row],[total_amount]]/(1-Table4[[#This Row],[discount_pct]]/100)</f>
        <v>450</v>
      </c>
      <c r="I87">
        <v>0</v>
      </c>
      <c r="J87" s="2">
        <v>450</v>
      </c>
      <c r="K87" t="s">
        <v>320</v>
      </c>
      <c r="L87" s="2">
        <f>Table4[[#This Row],[total_amount]]*Table4[[#This Row],[refund_count]]</f>
        <v>0</v>
      </c>
      <c r="M87">
        <v>0</v>
      </c>
    </row>
    <row r="88" spans="1:13" x14ac:dyDescent="0.35">
      <c r="A88">
        <v>1087</v>
      </c>
      <c r="B88" s="1">
        <v>45934</v>
      </c>
      <c r="C88">
        <v>7</v>
      </c>
      <c r="D88">
        <v>118</v>
      </c>
      <c r="E88">
        <v>18</v>
      </c>
      <c r="F88">
        <v>2</v>
      </c>
      <c r="G88" s="2">
        <f>Table4[[#This Row],[gross_amount]]/Table4[[#This Row],[quantity]]</f>
        <v>200</v>
      </c>
      <c r="H88" s="2">
        <f>Table4[[#This Row],[total_amount]]/(1-Table4[[#This Row],[discount_pct]]/100)</f>
        <v>400</v>
      </c>
      <c r="I88">
        <v>10</v>
      </c>
      <c r="J88" s="2">
        <v>360</v>
      </c>
      <c r="K88" t="s">
        <v>322</v>
      </c>
      <c r="L88" s="2">
        <f>Table4[[#This Row],[total_amount]]*Table4[[#This Row],[refund_count]]</f>
        <v>0</v>
      </c>
      <c r="M88">
        <v>0</v>
      </c>
    </row>
    <row r="89" spans="1:13" x14ac:dyDescent="0.35">
      <c r="A89">
        <v>1088</v>
      </c>
      <c r="B89" s="1">
        <v>45934</v>
      </c>
      <c r="C89">
        <v>6</v>
      </c>
      <c r="D89">
        <v>98</v>
      </c>
      <c r="E89">
        <v>9</v>
      </c>
      <c r="F89">
        <v>3</v>
      </c>
      <c r="G89" s="2">
        <f>Table4[[#This Row],[gross_amount]]/Table4[[#This Row],[quantity]]</f>
        <v>160</v>
      </c>
      <c r="H89" s="2">
        <f>Table4[[#This Row],[total_amount]]/(1-Table4[[#This Row],[discount_pct]]/100)</f>
        <v>480</v>
      </c>
      <c r="I89">
        <v>15</v>
      </c>
      <c r="J89" s="2">
        <v>408</v>
      </c>
      <c r="K89" t="s">
        <v>320</v>
      </c>
      <c r="L89" s="2">
        <f>Table4[[#This Row],[total_amount]]*Table4[[#This Row],[refund_count]]</f>
        <v>0</v>
      </c>
      <c r="M89">
        <v>0</v>
      </c>
    </row>
    <row r="90" spans="1:13" x14ac:dyDescent="0.35">
      <c r="A90">
        <v>1089</v>
      </c>
      <c r="B90" s="1">
        <v>45965</v>
      </c>
      <c r="C90">
        <v>10</v>
      </c>
      <c r="D90">
        <v>136</v>
      </c>
      <c r="E90">
        <v>12</v>
      </c>
      <c r="F90">
        <v>1</v>
      </c>
      <c r="G90" s="2">
        <f>Table4[[#This Row],[gross_amount]]/Table4[[#This Row],[quantity]]</f>
        <v>180</v>
      </c>
      <c r="H90" s="2">
        <f>Table4[[#This Row],[total_amount]]/(1-Table4[[#This Row],[discount_pct]]/100)</f>
        <v>180</v>
      </c>
      <c r="I90">
        <v>5</v>
      </c>
      <c r="J90" s="2">
        <v>171</v>
      </c>
      <c r="K90" t="s">
        <v>255</v>
      </c>
      <c r="L90" s="2">
        <f>Table4[[#This Row],[total_amount]]*Table4[[#This Row],[refund_count]]</f>
        <v>0</v>
      </c>
      <c r="M90">
        <v>0</v>
      </c>
    </row>
    <row r="91" spans="1:13" x14ac:dyDescent="0.35">
      <c r="A91">
        <v>1090</v>
      </c>
      <c r="B91" s="1">
        <v>45965</v>
      </c>
      <c r="C91">
        <v>6</v>
      </c>
      <c r="D91">
        <v>97</v>
      </c>
      <c r="E91">
        <v>15</v>
      </c>
      <c r="F91">
        <v>3</v>
      </c>
      <c r="G91" s="2">
        <f>Table4[[#This Row],[gross_amount]]/Table4[[#This Row],[quantity]]</f>
        <v>180</v>
      </c>
      <c r="H91" s="2">
        <f>Table4[[#This Row],[total_amount]]/(1-Table4[[#This Row],[discount_pct]]/100)</f>
        <v>540</v>
      </c>
      <c r="I91">
        <v>5</v>
      </c>
      <c r="J91" s="2">
        <v>513</v>
      </c>
      <c r="K91" t="s">
        <v>320</v>
      </c>
      <c r="L91" s="2">
        <f>Table4[[#This Row],[total_amount]]*Table4[[#This Row],[refund_count]]</f>
        <v>0</v>
      </c>
      <c r="M91">
        <v>0</v>
      </c>
    </row>
    <row r="92" spans="1:13" x14ac:dyDescent="0.35">
      <c r="A92">
        <v>1091</v>
      </c>
      <c r="B92" s="1">
        <v>45965</v>
      </c>
      <c r="C92">
        <v>8</v>
      </c>
      <c r="D92">
        <v>130</v>
      </c>
      <c r="E92">
        <v>3</v>
      </c>
      <c r="F92">
        <v>1</v>
      </c>
      <c r="G92" s="2">
        <f>Table4[[#This Row],[gross_amount]]/Table4[[#This Row],[quantity]]</f>
        <v>160</v>
      </c>
      <c r="H92" s="2">
        <f>Table4[[#This Row],[total_amount]]/(1-Table4[[#This Row],[discount_pct]]/100)</f>
        <v>160</v>
      </c>
      <c r="I92">
        <v>0</v>
      </c>
      <c r="J92" s="2">
        <v>160</v>
      </c>
      <c r="K92" t="s">
        <v>320</v>
      </c>
      <c r="L92" s="2">
        <f>Table4[[#This Row],[total_amount]]*Table4[[#This Row],[refund_count]]</f>
        <v>0</v>
      </c>
      <c r="M92">
        <v>0</v>
      </c>
    </row>
    <row r="93" spans="1:13" x14ac:dyDescent="0.35">
      <c r="A93">
        <v>1092</v>
      </c>
      <c r="B93" s="1">
        <v>45965</v>
      </c>
      <c r="C93">
        <v>4</v>
      </c>
      <c r="D93">
        <v>218</v>
      </c>
      <c r="E93">
        <v>3</v>
      </c>
      <c r="F93">
        <v>1</v>
      </c>
      <c r="G93" s="2">
        <f>Table4[[#This Row],[gross_amount]]/Table4[[#This Row],[quantity]]</f>
        <v>160</v>
      </c>
      <c r="H93" s="2">
        <f>Table4[[#This Row],[total_amount]]/(1-Table4[[#This Row],[discount_pct]]/100)</f>
        <v>160</v>
      </c>
      <c r="I93">
        <v>10</v>
      </c>
      <c r="J93" s="2">
        <v>144</v>
      </c>
      <c r="K93" t="s">
        <v>322</v>
      </c>
      <c r="L93" s="2">
        <f>Table4[[#This Row],[total_amount]]*Table4[[#This Row],[refund_count]]</f>
        <v>0</v>
      </c>
      <c r="M93">
        <v>0</v>
      </c>
    </row>
    <row r="94" spans="1:13" x14ac:dyDescent="0.35">
      <c r="A94">
        <v>1093</v>
      </c>
      <c r="B94" s="1">
        <v>45995</v>
      </c>
      <c r="C94">
        <v>8</v>
      </c>
      <c r="D94">
        <v>28</v>
      </c>
      <c r="E94">
        <v>19</v>
      </c>
      <c r="F94">
        <v>3</v>
      </c>
      <c r="G94" s="2">
        <f>Table4[[#This Row],[gross_amount]]/Table4[[#This Row],[quantity]]</f>
        <v>160</v>
      </c>
      <c r="H94" s="2">
        <f>Table4[[#This Row],[total_amount]]/(1-Table4[[#This Row],[discount_pct]]/100)</f>
        <v>480</v>
      </c>
      <c r="I94">
        <v>0</v>
      </c>
      <c r="J94" s="2">
        <v>480</v>
      </c>
      <c r="K94" t="s">
        <v>322</v>
      </c>
      <c r="L94" s="2">
        <f>Table4[[#This Row],[total_amount]]*Table4[[#This Row],[refund_count]]</f>
        <v>0</v>
      </c>
      <c r="M94">
        <v>0</v>
      </c>
    </row>
    <row r="95" spans="1:13" x14ac:dyDescent="0.35">
      <c r="A95">
        <v>1094</v>
      </c>
      <c r="B95" s="1">
        <v>45995</v>
      </c>
      <c r="C95">
        <v>2</v>
      </c>
      <c r="D95">
        <v>111</v>
      </c>
      <c r="E95">
        <v>10</v>
      </c>
      <c r="F95">
        <v>2</v>
      </c>
      <c r="G95" s="2">
        <f>Table4[[#This Row],[gross_amount]]/Table4[[#This Row],[quantity]]</f>
        <v>170</v>
      </c>
      <c r="H95" s="2">
        <f>Table4[[#This Row],[total_amount]]/(1-Table4[[#This Row],[discount_pct]]/100)</f>
        <v>340</v>
      </c>
      <c r="I95">
        <v>5</v>
      </c>
      <c r="J95" s="2">
        <v>323</v>
      </c>
      <c r="K95" t="s">
        <v>322</v>
      </c>
      <c r="L95" s="2">
        <f>Table4[[#This Row],[total_amount]]*Table4[[#This Row],[refund_count]]</f>
        <v>0</v>
      </c>
      <c r="M95">
        <v>0</v>
      </c>
    </row>
    <row r="96" spans="1:13" x14ac:dyDescent="0.35">
      <c r="A96">
        <v>1095</v>
      </c>
      <c r="B96" s="1">
        <v>45995</v>
      </c>
      <c r="C96">
        <v>7</v>
      </c>
      <c r="D96">
        <v>179</v>
      </c>
      <c r="E96">
        <v>1</v>
      </c>
      <c r="F96">
        <v>1</v>
      </c>
      <c r="G96" s="2">
        <f>Table4[[#This Row],[gross_amount]]/Table4[[#This Row],[quantity]]</f>
        <v>180</v>
      </c>
      <c r="H96" s="2">
        <f>Table4[[#This Row],[total_amount]]/(1-Table4[[#This Row],[discount_pct]]/100)</f>
        <v>180</v>
      </c>
      <c r="I96">
        <v>5</v>
      </c>
      <c r="J96" s="2">
        <v>171</v>
      </c>
      <c r="K96" t="s">
        <v>322</v>
      </c>
      <c r="L96" s="2">
        <f>Table4[[#This Row],[total_amount]]*Table4[[#This Row],[refund_count]]</f>
        <v>0</v>
      </c>
      <c r="M96">
        <v>0</v>
      </c>
    </row>
    <row r="97" spans="1:13" x14ac:dyDescent="0.35">
      <c r="A97">
        <v>1096</v>
      </c>
      <c r="B97" s="1">
        <v>45995</v>
      </c>
      <c r="C97">
        <v>2</v>
      </c>
      <c r="D97">
        <v>210</v>
      </c>
      <c r="E97">
        <v>10</v>
      </c>
      <c r="F97">
        <v>1</v>
      </c>
      <c r="G97" s="2">
        <f>Table4[[#This Row],[gross_amount]]/Table4[[#This Row],[quantity]]</f>
        <v>150</v>
      </c>
      <c r="H97" s="2">
        <f>Table4[[#This Row],[total_amount]]/(1-Table4[[#This Row],[discount_pct]]/100)</f>
        <v>150</v>
      </c>
      <c r="I97">
        <v>0</v>
      </c>
      <c r="J97" s="2">
        <v>150</v>
      </c>
      <c r="K97" t="s">
        <v>322</v>
      </c>
      <c r="L97" s="2">
        <f>Table4[[#This Row],[total_amount]]*Table4[[#This Row],[refund_count]]</f>
        <v>0</v>
      </c>
      <c r="M97">
        <v>0</v>
      </c>
    </row>
    <row r="98" spans="1:13" x14ac:dyDescent="0.35">
      <c r="A98">
        <v>1097</v>
      </c>
      <c r="B98" s="1">
        <v>45662</v>
      </c>
      <c r="C98">
        <v>6</v>
      </c>
      <c r="D98">
        <v>83</v>
      </c>
      <c r="E98">
        <v>7</v>
      </c>
      <c r="F98">
        <v>1</v>
      </c>
      <c r="G98" s="2">
        <f>Table4[[#This Row],[gross_amount]]/Table4[[#This Row],[quantity]]</f>
        <v>160</v>
      </c>
      <c r="H98" s="2">
        <f>Table4[[#This Row],[total_amount]]/(1-Table4[[#This Row],[discount_pct]]/100)</f>
        <v>160</v>
      </c>
      <c r="I98">
        <v>0</v>
      </c>
      <c r="J98" s="2">
        <v>160</v>
      </c>
      <c r="K98" t="s">
        <v>320</v>
      </c>
      <c r="L98" s="2">
        <f>Table4[[#This Row],[total_amount]]*Table4[[#This Row],[refund_count]]</f>
        <v>0</v>
      </c>
      <c r="M98">
        <v>0</v>
      </c>
    </row>
    <row r="99" spans="1:13" x14ac:dyDescent="0.35">
      <c r="A99">
        <v>1098</v>
      </c>
      <c r="B99" s="1">
        <v>45662</v>
      </c>
      <c r="C99">
        <v>6</v>
      </c>
      <c r="D99">
        <v>179</v>
      </c>
      <c r="E99">
        <v>10</v>
      </c>
      <c r="F99">
        <v>1</v>
      </c>
      <c r="G99" s="2">
        <f>Table4[[#This Row],[gross_amount]]/Table4[[#This Row],[quantity]]</f>
        <v>150</v>
      </c>
      <c r="H99" s="2">
        <f>Table4[[#This Row],[total_amount]]/(1-Table4[[#This Row],[discount_pct]]/100)</f>
        <v>150</v>
      </c>
      <c r="I99">
        <v>10</v>
      </c>
      <c r="J99" s="2">
        <v>135</v>
      </c>
      <c r="K99" t="s">
        <v>320</v>
      </c>
      <c r="L99" s="2">
        <f>Table4[[#This Row],[total_amount]]*Table4[[#This Row],[refund_count]]</f>
        <v>0</v>
      </c>
      <c r="M99">
        <v>0</v>
      </c>
    </row>
    <row r="100" spans="1:13" x14ac:dyDescent="0.35">
      <c r="A100">
        <v>1099</v>
      </c>
      <c r="B100" s="1">
        <v>45662</v>
      </c>
      <c r="C100">
        <v>3</v>
      </c>
      <c r="D100">
        <v>206</v>
      </c>
      <c r="E100">
        <v>10</v>
      </c>
      <c r="F100">
        <v>1</v>
      </c>
      <c r="G100" s="2">
        <f>Table4[[#This Row],[gross_amount]]/Table4[[#This Row],[quantity]]</f>
        <v>180</v>
      </c>
      <c r="H100" s="2">
        <f>Table4[[#This Row],[total_amount]]/(1-Table4[[#This Row],[discount_pct]]/100)</f>
        <v>180</v>
      </c>
      <c r="I100">
        <v>0</v>
      </c>
      <c r="J100" s="2">
        <v>180</v>
      </c>
      <c r="K100" t="s">
        <v>321</v>
      </c>
      <c r="L100" s="2">
        <f>Table4[[#This Row],[total_amount]]*Table4[[#This Row],[refund_count]]</f>
        <v>0</v>
      </c>
      <c r="M100">
        <v>0</v>
      </c>
    </row>
    <row r="101" spans="1:13" x14ac:dyDescent="0.35">
      <c r="A101">
        <v>1100</v>
      </c>
      <c r="B101" s="1">
        <v>45662</v>
      </c>
      <c r="C101">
        <v>5</v>
      </c>
      <c r="D101">
        <v>92</v>
      </c>
      <c r="E101">
        <v>16</v>
      </c>
      <c r="F101">
        <v>2</v>
      </c>
      <c r="G101" s="2">
        <f>Table4[[#This Row],[gross_amount]]/Table4[[#This Row],[quantity]]</f>
        <v>150</v>
      </c>
      <c r="H101" s="2">
        <f>Table4[[#This Row],[total_amount]]/(1-Table4[[#This Row],[discount_pct]]/100)</f>
        <v>300</v>
      </c>
      <c r="I101">
        <v>10</v>
      </c>
      <c r="J101" s="2">
        <v>270</v>
      </c>
      <c r="K101" t="s">
        <v>320</v>
      </c>
      <c r="L101" s="2">
        <f>Table4[[#This Row],[total_amount]]*Table4[[#This Row],[refund_count]]</f>
        <v>0</v>
      </c>
      <c r="M101">
        <v>0</v>
      </c>
    </row>
    <row r="102" spans="1:13" x14ac:dyDescent="0.35">
      <c r="A102">
        <v>1101</v>
      </c>
      <c r="B102" s="1">
        <v>45693</v>
      </c>
      <c r="C102">
        <v>4</v>
      </c>
      <c r="D102">
        <v>25</v>
      </c>
      <c r="E102">
        <v>15</v>
      </c>
      <c r="F102">
        <v>2</v>
      </c>
      <c r="G102" s="2">
        <f>Table4[[#This Row],[gross_amount]]/Table4[[#This Row],[quantity]]</f>
        <v>200</v>
      </c>
      <c r="H102" s="2">
        <f>Table4[[#This Row],[total_amount]]/(1-Table4[[#This Row],[discount_pct]]/100)</f>
        <v>400</v>
      </c>
      <c r="I102">
        <v>10</v>
      </c>
      <c r="J102" s="2">
        <v>360</v>
      </c>
      <c r="K102" t="s">
        <v>320</v>
      </c>
      <c r="L102" s="2">
        <f>Table4[[#This Row],[total_amount]]*Table4[[#This Row],[refund_count]]</f>
        <v>0</v>
      </c>
      <c r="M102">
        <v>0</v>
      </c>
    </row>
    <row r="103" spans="1:13" x14ac:dyDescent="0.35">
      <c r="A103">
        <v>1102</v>
      </c>
      <c r="B103" s="1">
        <v>45693</v>
      </c>
      <c r="C103">
        <v>9</v>
      </c>
      <c r="D103">
        <v>147</v>
      </c>
      <c r="E103">
        <v>20</v>
      </c>
      <c r="F103">
        <v>2</v>
      </c>
      <c r="G103" s="2">
        <f>Table4[[#This Row],[gross_amount]]/Table4[[#This Row],[quantity]]</f>
        <v>170</v>
      </c>
      <c r="H103" s="2">
        <f>Table4[[#This Row],[total_amount]]/(1-Table4[[#This Row],[discount_pct]]/100)</f>
        <v>340</v>
      </c>
      <c r="I103">
        <v>5</v>
      </c>
      <c r="J103" s="2">
        <v>323</v>
      </c>
      <c r="K103" t="s">
        <v>320</v>
      </c>
      <c r="L103" s="2">
        <f>Table4[[#This Row],[total_amount]]*Table4[[#This Row],[refund_count]]</f>
        <v>0</v>
      </c>
      <c r="M103">
        <v>0</v>
      </c>
    </row>
    <row r="104" spans="1:13" x14ac:dyDescent="0.35">
      <c r="A104">
        <v>1103</v>
      </c>
      <c r="B104" s="1">
        <v>45693</v>
      </c>
      <c r="C104">
        <v>9</v>
      </c>
      <c r="D104">
        <v>101</v>
      </c>
      <c r="E104">
        <v>6</v>
      </c>
      <c r="F104">
        <v>1</v>
      </c>
      <c r="G104" s="2">
        <f>Table4[[#This Row],[gross_amount]]/Table4[[#This Row],[quantity]]</f>
        <v>170</v>
      </c>
      <c r="H104" s="2">
        <f>Table4[[#This Row],[total_amount]]/(1-Table4[[#This Row],[discount_pct]]/100)</f>
        <v>170</v>
      </c>
      <c r="I104">
        <v>0</v>
      </c>
      <c r="J104" s="2">
        <v>170</v>
      </c>
      <c r="K104" t="s">
        <v>320</v>
      </c>
      <c r="L104" s="2">
        <f>Table4[[#This Row],[total_amount]]*Table4[[#This Row],[refund_count]]</f>
        <v>0</v>
      </c>
      <c r="M104">
        <v>0</v>
      </c>
    </row>
    <row r="105" spans="1:13" x14ac:dyDescent="0.35">
      <c r="A105">
        <v>1104</v>
      </c>
      <c r="B105" s="1">
        <v>45693</v>
      </c>
      <c r="C105">
        <v>10</v>
      </c>
      <c r="D105">
        <v>60</v>
      </c>
      <c r="E105">
        <v>2</v>
      </c>
      <c r="F105">
        <v>2</v>
      </c>
      <c r="G105" s="2">
        <f>Table4[[#This Row],[gross_amount]]/Table4[[#This Row],[quantity]]</f>
        <v>130</v>
      </c>
      <c r="H105" s="2">
        <f>Table4[[#This Row],[total_amount]]/(1-Table4[[#This Row],[discount_pct]]/100)</f>
        <v>260</v>
      </c>
      <c r="I105">
        <v>5</v>
      </c>
      <c r="J105" s="2">
        <v>247</v>
      </c>
      <c r="K105" t="s">
        <v>322</v>
      </c>
      <c r="L105" s="2">
        <f>Table4[[#This Row],[total_amount]]*Table4[[#This Row],[refund_count]]</f>
        <v>0</v>
      </c>
      <c r="M105">
        <v>0</v>
      </c>
    </row>
    <row r="106" spans="1:13" x14ac:dyDescent="0.35">
      <c r="A106">
        <v>1105</v>
      </c>
      <c r="B106" s="1">
        <v>45721</v>
      </c>
      <c r="C106">
        <v>6</v>
      </c>
      <c r="D106">
        <v>167</v>
      </c>
      <c r="E106">
        <v>1</v>
      </c>
      <c r="F106">
        <v>1</v>
      </c>
      <c r="G106" s="2">
        <f>Table4[[#This Row],[gross_amount]]/Table4[[#This Row],[quantity]]</f>
        <v>180</v>
      </c>
      <c r="H106" s="2">
        <f>Table4[[#This Row],[total_amount]]/(1-Table4[[#This Row],[discount_pct]]/100)</f>
        <v>180</v>
      </c>
      <c r="I106">
        <v>15</v>
      </c>
      <c r="J106" s="2">
        <v>153</v>
      </c>
      <c r="K106" t="s">
        <v>322</v>
      </c>
      <c r="L106" s="2">
        <f>Table4[[#This Row],[total_amount]]*Table4[[#This Row],[refund_count]]</f>
        <v>0</v>
      </c>
      <c r="M106">
        <v>0</v>
      </c>
    </row>
    <row r="107" spans="1:13" x14ac:dyDescent="0.35">
      <c r="A107">
        <v>1106</v>
      </c>
      <c r="B107" s="1">
        <v>45721</v>
      </c>
      <c r="C107">
        <v>7</v>
      </c>
      <c r="D107">
        <v>94</v>
      </c>
      <c r="E107">
        <v>16</v>
      </c>
      <c r="F107">
        <v>1</v>
      </c>
      <c r="G107" s="2">
        <f>Table4[[#This Row],[gross_amount]]/Table4[[#This Row],[quantity]]</f>
        <v>220</v>
      </c>
      <c r="H107" s="2">
        <f>Table4[[#This Row],[total_amount]]/(1-Table4[[#This Row],[discount_pct]]/100)</f>
        <v>220</v>
      </c>
      <c r="I107">
        <v>10</v>
      </c>
      <c r="J107" s="2">
        <v>198</v>
      </c>
      <c r="K107" t="s">
        <v>320</v>
      </c>
      <c r="L107" s="2">
        <f>Table4[[#This Row],[total_amount]]*Table4[[#This Row],[refund_count]]</f>
        <v>0</v>
      </c>
      <c r="M107">
        <v>0</v>
      </c>
    </row>
    <row r="108" spans="1:13" x14ac:dyDescent="0.35">
      <c r="A108">
        <v>1107</v>
      </c>
      <c r="B108" s="1">
        <v>45721</v>
      </c>
      <c r="C108">
        <v>6</v>
      </c>
      <c r="D108">
        <v>60</v>
      </c>
      <c r="E108">
        <v>1</v>
      </c>
      <c r="F108">
        <v>2</v>
      </c>
      <c r="G108" s="2">
        <f>Table4[[#This Row],[gross_amount]]/Table4[[#This Row],[quantity]]</f>
        <v>170</v>
      </c>
      <c r="H108" s="2">
        <f>Table4[[#This Row],[total_amount]]/(1-Table4[[#This Row],[discount_pct]]/100)</f>
        <v>340</v>
      </c>
      <c r="I108">
        <v>10</v>
      </c>
      <c r="J108" s="2">
        <v>306</v>
      </c>
      <c r="K108" t="s">
        <v>320</v>
      </c>
      <c r="L108" s="2">
        <f>Table4[[#This Row],[total_amount]]*Table4[[#This Row],[refund_count]]</f>
        <v>0</v>
      </c>
      <c r="M108">
        <v>0</v>
      </c>
    </row>
    <row r="109" spans="1:13" x14ac:dyDescent="0.35">
      <c r="A109">
        <v>1108</v>
      </c>
      <c r="B109" s="1">
        <v>45721</v>
      </c>
      <c r="C109">
        <v>9</v>
      </c>
      <c r="D109">
        <v>247</v>
      </c>
      <c r="E109">
        <v>20</v>
      </c>
      <c r="F109">
        <v>1</v>
      </c>
      <c r="G109" s="2">
        <f>Table4[[#This Row],[gross_amount]]/Table4[[#This Row],[quantity]]</f>
        <v>190</v>
      </c>
      <c r="H109" s="2">
        <f>Table4[[#This Row],[total_amount]]/(1-Table4[[#This Row],[discount_pct]]/100)</f>
        <v>190</v>
      </c>
      <c r="I109">
        <v>10</v>
      </c>
      <c r="J109" s="2">
        <v>171</v>
      </c>
      <c r="K109" t="s">
        <v>321</v>
      </c>
      <c r="L109" s="2">
        <f>Table4[[#This Row],[total_amount]]*Table4[[#This Row],[refund_count]]</f>
        <v>0</v>
      </c>
      <c r="M109">
        <v>0</v>
      </c>
    </row>
    <row r="110" spans="1:13" x14ac:dyDescent="0.35">
      <c r="A110">
        <v>1109</v>
      </c>
      <c r="B110" s="1">
        <v>45752</v>
      </c>
      <c r="C110">
        <v>2</v>
      </c>
      <c r="D110">
        <v>37</v>
      </c>
      <c r="E110">
        <v>16</v>
      </c>
      <c r="F110">
        <v>2</v>
      </c>
      <c r="G110" s="2">
        <f>Table4[[#This Row],[gross_amount]]/Table4[[#This Row],[quantity]]</f>
        <v>130</v>
      </c>
      <c r="H110" s="2">
        <f>Table4[[#This Row],[total_amount]]/(1-Table4[[#This Row],[discount_pct]]/100)</f>
        <v>260</v>
      </c>
      <c r="I110">
        <v>20</v>
      </c>
      <c r="J110" s="2">
        <v>208</v>
      </c>
      <c r="K110" t="s">
        <v>322</v>
      </c>
      <c r="L110" s="2">
        <f>Table4[[#This Row],[total_amount]]*Table4[[#This Row],[refund_count]]</f>
        <v>0</v>
      </c>
      <c r="M110">
        <v>0</v>
      </c>
    </row>
    <row r="111" spans="1:13" x14ac:dyDescent="0.35">
      <c r="A111">
        <v>1110</v>
      </c>
      <c r="B111" s="1">
        <v>45752</v>
      </c>
      <c r="C111">
        <v>10</v>
      </c>
      <c r="D111">
        <v>145</v>
      </c>
      <c r="E111">
        <v>13</v>
      </c>
      <c r="F111">
        <v>3</v>
      </c>
      <c r="G111" s="2">
        <f>Table4[[#This Row],[gross_amount]]/Table4[[#This Row],[quantity]]</f>
        <v>133.33333333333334</v>
      </c>
      <c r="H111" s="2">
        <f>Table4[[#This Row],[total_amount]]/(1-Table4[[#This Row],[discount_pct]]/100)</f>
        <v>400</v>
      </c>
      <c r="I111">
        <v>10</v>
      </c>
      <c r="J111" s="2">
        <v>360</v>
      </c>
      <c r="K111" t="s">
        <v>322</v>
      </c>
      <c r="L111" s="2">
        <f>Table4[[#This Row],[total_amount]]*Table4[[#This Row],[refund_count]]</f>
        <v>0</v>
      </c>
      <c r="M111">
        <v>0</v>
      </c>
    </row>
    <row r="112" spans="1:13" x14ac:dyDescent="0.35">
      <c r="A112">
        <v>1111</v>
      </c>
      <c r="B112" s="1">
        <v>45752</v>
      </c>
      <c r="C112">
        <v>7</v>
      </c>
      <c r="D112">
        <v>9</v>
      </c>
      <c r="E112">
        <v>9</v>
      </c>
      <c r="F112">
        <v>3</v>
      </c>
      <c r="G112" s="2">
        <f>Table4[[#This Row],[gross_amount]]/Table4[[#This Row],[quantity]]</f>
        <v>170</v>
      </c>
      <c r="H112" s="2">
        <f>Table4[[#This Row],[total_amount]]/(1-Table4[[#This Row],[discount_pct]]/100)</f>
        <v>510</v>
      </c>
      <c r="I112">
        <v>20</v>
      </c>
      <c r="J112" s="2">
        <v>408</v>
      </c>
      <c r="K112" t="s">
        <v>322</v>
      </c>
      <c r="L112" s="2">
        <f>Table4[[#This Row],[total_amount]]*Table4[[#This Row],[refund_count]]</f>
        <v>0</v>
      </c>
      <c r="M112">
        <v>0</v>
      </c>
    </row>
    <row r="113" spans="1:13" x14ac:dyDescent="0.35">
      <c r="A113">
        <v>1112</v>
      </c>
      <c r="B113" s="1">
        <v>45752</v>
      </c>
      <c r="C113">
        <v>9</v>
      </c>
      <c r="D113">
        <v>121</v>
      </c>
      <c r="E113">
        <v>6</v>
      </c>
      <c r="F113">
        <v>1</v>
      </c>
      <c r="G113" s="2">
        <f>Table4[[#This Row],[gross_amount]]/Table4[[#This Row],[quantity]]</f>
        <v>170</v>
      </c>
      <c r="H113" s="2">
        <f>Table4[[#This Row],[total_amount]]/(1-Table4[[#This Row],[discount_pct]]/100)</f>
        <v>170</v>
      </c>
      <c r="I113">
        <v>20</v>
      </c>
      <c r="J113" s="2">
        <v>136</v>
      </c>
      <c r="K113" t="s">
        <v>320</v>
      </c>
      <c r="L113" s="2">
        <f>Table4[[#This Row],[total_amount]]*Table4[[#This Row],[refund_count]]</f>
        <v>0</v>
      </c>
      <c r="M113">
        <v>0</v>
      </c>
    </row>
    <row r="114" spans="1:13" x14ac:dyDescent="0.35">
      <c r="A114">
        <v>1113</v>
      </c>
      <c r="B114" s="1">
        <v>45782</v>
      </c>
      <c r="C114">
        <v>9</v>
      </c>
      <c r="D114">
        <v>220</v>
      </c>
      <c r="E114">
        <v>13</v>
      </c>
      <c r="F114">
        <v>2</v>
      </c>
      <c r="G114" s="2">
        <f>Table4[[#This Row],[gross_amount]]/Table4[[#This Row],[quantity]]</f>
        <v>200</v>
      </c>
      <c r="H114" s="2">
        <f>Table4[[#This Row],[total_amount]]/(1-Table4[[#This Row],[discount_pct]]/100)</f>
        <v>400</v>
      </c>
      <c r="I114">
        <v>0</v>
      </c>
      <c r="J114" s="2">
        <v>400</v>
      </c>
      <c r="K114" t="s">
        <v>322</v>
      </c>
      <c r="L114" s="2">
        <f>Table4[[#This Row],[total_amount]]*Table4[[#This Row],[refund_count]]</f>
        <v>0</v>
      </c>
      <c r="M114">
        <v>0</v>
      </c>
    </row>
    <row r="115" spans="1:13" x14ac:dyDescent="0.35">
      <c r="A115">
        <v>1114</v>
      </c>
      <c r="B115" s="1">
        <v>45782</v>
      </c>
      <c r="C115">
        <v>2</v>
      </c>
      <c r="D115">
        <v>59</v>
      </c>
      <c r="E115">
        <v>18</v>
      </c>
      <c r="F115">
        <v>3</v>
      </c>
      <c r="G115" s="2">
        <f>Table4[[#This Row],[gross_amount]]/Table4[[#This Row],[quantity]]</f>
        <v>180</v>
      </c>
      <c r="H115" s="2">
        <f>Table4[[#This Row],[total_amount]]/(1-Table4[[#This Row],[discount_pct]]/100)</f>
        <v>540</v>
      </c>
      <c r="I115">
        <v>0</v>
      </c>
      <c r="J115" s="2">
        <v>540</v>
      </c>
      <c r="K115" t="s">
        <v>322</v>
      </c>
      <c r="L115" s="2">
        <f>Table4[[#This Row],[total_amount]]*Table4[[#This Row],[refund_count]]</f>
        <v>0</v>
      </c>
      <c r="M115">
        <v>0</v>
      </c>
    </row>
    <row r="116" spans="1:13" x14ac:dyDescent="0.35">
      <c r="A116">
        <v>1115</v>
      </c>
      <c r="B116" s="1">
        <v>45782</v>
      </c>
      <c r="C116">
        <v>7</v>
      </c>
      <c r="D116">
        <v>17</v>
      </c>
      <c r="E116">
        <v>8</v>
      </c>
      <c r="F116">
        <v>2</v>
      </c>
      <c r="G116" s="2">
        <f>Table4[[#This Row],[gross_amount]]/Table4[[#This Row],[quantity]]</f>
        <v>160</v>
      </c>
      <c r="H116" s="2">
        <f>Table4[[#This Row],[total_amount]]/(1-Table4[[#This Row],[discount_pct]]/100)</f>
        <v>320</v>
      </c>
      <c r="I116">
        <v>15</v>
      </c>
      <c r="J116" s="2">
        <v>272</v>
      </c>
      <c r="K116" t="s">
        <v>255</v>
      </c>
      <c r="L116" s="2">
        <f>Table4[[#This Row],[total_amount]]*Table4[[#This Row],[refund_count]]</f>
        <v>0</v>
      </c>
      <c r="M116">
        <v>0</v>
      </c>
    </row>
    <row r="117" spans="1:13" x14ac:dyDescent="0.35">
      <c r="A117">
        <v>1116</v>
      </c>
      <c r="B117" s="1">
        <v>45782</v>
      </c>
      <c r="C117">
        <v>9</v>
      </c>
      <c r="D117">
        <v>201</v>
      </c>
      <c r="E117">
        <v>1</v>
      </c>
      <c r="F117">
        <v>3</v>
      </c>
      <c r="G117" s="2">
        <f>Table4[[#This Row],[gross_amount]]/Table4[[#This Row],[quantity]]</f>
        <v>140</v>
      </c>
      <c r="H117" s="2">
        <f>Table4[[#This Row],[total_amount]]/(1-Table4[[#This Row],[discount_pct]]/100)</f>
        <v>420</v>
      </c>
      <c r="I117">
        <v>10</v>
      </c>
      <c r="J117" s="2">
        <v>378</v>
      </c>
      <c r="K117" t="s">
        <v>320</v>
      </c>
      <c r="L117" s="2">
        <f>Table4[[#This Row],[total_amount]]*Table4[[#This Row],[refund_count]]</f>
        <v>0</v>
      </c>
      <c r="M117">
        <v>0</v>
      </c>
    </row>
    <row r="118" spans="1:13" x14ac:dyDescent="0.35">
      <c r="A118">
        <v>1117</v>
      </c>
      <c r="B118" s="1">
        <v>45813</v>
      </c>
      <c r="C118">
        <v>1</v>
      </c>
      <c r="D118">
        <v>160</v>
      </c>
      <c r="E118">
        <v>5</v>
      </c>
      <c r="F118">
        <v>3</v>
      </c>
      <c r="G118" s="2">
        <f>Table4[[#This Row],[gross_amount]]/Table4[[#This Row],[quantity]]</f>
        <v>160</v>
      </c>
      <c r="H118" s="2">
        <f>Table4[[#This Row],[total_amount]]/(1-Table4[[#This Row],[discount_pct]]/100)</f>
        <v>480</v>
      </c>
      <c r="I118">
        <v>0</v>
      </c>
      <c r="J118" s="2">
        <v>480</v>
      </c>
      <c r="K118" t="s">
        <v>321</v>
      </c>
      <c r="L118" s="2">
        <f>Table4[[#This Row],[total_amount]]*Table4[[#This Row],[refund_count]]</f>
        <v>0</v>
      </c>
      <c r="M118">
        <v>0</v>
      </c>
    </row>
    <row r="119" spans="1:13" x14ac:dyDescent="0.35">
      <c r="A119">
        <v>1118</v>
      </c>
      <c r="B119" s="1">
        <v>45813</v>
      </c>
      <c r="C119">
        <v>1</v>
      </c>
      <c r="D119">
        <v>52</v>
      </c>
      <c r="E119">
        <v>18</v>
      </c>
      <c r="F119">
        <v>3</v>
      </c>
      <c r="G119" s="2">
        <f>Table4[[#This Row],[gross_amount]]/Table4[[#This Row],[quantity]]</f>
        <v>133.33333333333334</v>
      </c>
      <c r="H119" s="2">
        <f>Table4[[#This Row],[total_amount]]/(1-Table4[[#This Row],[discount_pct]]/100)</f>
        <v>400</v>
      </c>
      <c r="I119">
        <v>10</v>
      </c>
      <c r="J119" s="2">
        <v>360</v>
      </c>
      <c r="K119" t="s">
        <v>322</v>
      </c>
      <c r="L119" s="2">
        <f>Table4[[#This Row],[total_amount]]*Table4[[#This Row],[refund_count]]</f>
        <v>0</v>
      </c>
      <c r="M119">
        <v>0</v>
      </c>
    </row>
    <row r="120" spans="1:13" x14ac:dyDescent="0.35">
      <c r="A120">
        <v>1119</v>
      </c>
      <c r="B120" s="1">
        <v>45813</v>
      </c>
      <c r="C120">
        <v>1</v>
      </c>
      <c r="D120">
        <v>68</v>
      </c>
      <c r="E120">
        <v>5</v>
      </c>
      <c r="F120">
        <v>3</v>
      </c>
      <c r="G120" s="2">
        <f>Table4[[#This Row],[gross_amount]]/Table4[[#This Row],[quantity]]</f>
        <v>160</v>
      </c>
      <c r="H120" s="2">
        <f>Table4[[#This Row],[total_amount]]/(1-Table4[[#This Row],[discount_pct]]/100)</f>
        <v>480</v>
      </c>
      <c r="I120">
        <v>15</v>
      </c>
      <c r="J120" s="2">
        <v>408</v>
      </c>
      <c r="K120" t="s">
        <v>320</v>
      </c>
      <c r="L120" s="2">
        <f>Table4[[#This Row],[total_amount]]*Table4[[#This Row],[refund_count]]</f>
        <v>0</v>
      </c>
      <c r="M120">
        <v>0</v>
      </c>
    </row>
    <row r="121" spans="1:13" x14ac:dyDescent="0.35">
      <c r="A121">
        <v>1120</v>
      </c>
      <c r="B121" s="1">
        <v>45813</v>
      </c>
      <c r="C121">
        <v>4</v>
      </c>
      <c r="D121">
        <v>64</v>
      </c>
      <c r="E121">
        <v>7</v>
      </c>
      <c r="F121">
        <v>1</v>
      </c>
      <c r="G121" s="2">
        <f>Table4[[#This Row],[gross_amount]]/Table4[[#This Row],[quantity]]</f>
        <v>180</v>
      </c>
      <c r="H121" s="2">
        <f>Table4[[#This Row],[total_amount]]/(1-Table4[[#This Row],[discount_pct]]/100)</f>
        <v>180</v>
      </c>
      <c r="I121">
        <v>5</v>
      </c>
      <c r="J121" s="2">
        <v>171</v>
      </c>
      <c r="K121" t="s">
        <v>322</v>
      </c>
      <c r="L121" s="2">
        <f>Table4[[#This Row],[total_amount]]*Table4[[#This Row],[refund_count]]</f>
        <v>0</v>
      </c>
      <c r="M121">
        <v>0</v>
      </c>
    </row>
    <row r="122" spans="1:13" x14ac:dyDescent="0.35">
      <c r="A122">
        <v>1121</v>
      </c>
      <c r="B122" s="1">
        <v>45844</v>
      </c>
      <c r="C122">
        <v>5</v>
      </c>
      <c r="D122">
        <v>170</v>
      </c>
      <c r="E122">
        <v>1</v>
      </c>
      <c r="F122">
        <v>3</v>
      </c>
      <c r="G122" s="2">
        <f>Table4[[#This Row],[gross_amount]]/Table4[[#This Row],[quantity]]</f>
        <v>170</v>
      </c>
      <c r="H122" s="2">
        <f>Table4[[#This Row],[total_amount]]/(1-Table4[[#This Row],[discount_pct]]/100)</f>
        <v>510</v>
      </c>
      <c r="I122">
        <v>15</v>
      </c>
      <c r="J122" s="2">
        <v>433.5</v>
      </c>
      <c r="K122" t="s">
        <v>321</v>
      </c>
      <c r="L122" s="2">
        <f>Table4[[#This Row],[total_amount]]*Table4[[#This Row],[refund_count]]</f>
        <v>0</v>
      </c>
      <c r="M122">
        <v>0</v>
      </c>
    </row>
    <row r="123" spans="1:13" x14ac:dyDescent="0.35">
      <c r="A123">
        <v>1122</v>
      </c>
      <c r="B123" s="1">
        <v>45844</v>
      </c>
      <c r="C123">
        <v>9</v>
      </c>
      <c r="D123">
        <v>52</v>
      </c>
      <c r="E123">
        <v>13</v>
      </c>
      <c r="F123">
        <v>1</v>
      </c>
      <c r="G123" s="2">
        <f>Table4[[#This Row],[gross_amount]]/Table4[[#This Row],[quantity]]</f>
        <v>300</v>
      </c>
      <c r="H123" s="2">
        <f>Table4[[#This Row],[total_amount]]/(1-Table4[[#This Row],[discount_pct]]/100)</f>
        <v>300</v>
      </c>
      <c r="I123">
        <v>10</v>
      </c>
      <c r="J123" s="2">
        <v>270</v>
      </c>
      <c r="K123" t="s">
        <v>320</v>
      </c>
      <c r="L123" s="2">
        <f>Table4[[#This Row],[total_amount]]*Table4[[#This Row],[refund_count]]</f>
        <v>0</v>
      </c>
      <c r="M123">
        <v>0</v>
      </c>
    </row>
    <row r="124" spans="1:13" x14ac:dyDescent="0.35">
      <c r="A124">
        <v>1123</v>
      </c>
      <c r="B124" s="1">
        <v>45844</v>
      </c>
      <c r="C124">
        <v>9</v>
      </c>
      <c r="D124">
        <v>14</v>
      </c>
      <c r="E124">
        <v>18</v>
      </c>
      <c r="F124">
        <v>1</v>
      </c>
      <c r="G124" s="2">
        <f>Table4[[#This Row],[gross_amount]]/Table4[[#This Row],[quantity]]</f>
        <v>150</v>
      </c>
      <c r="H124" s="2">
        <f>Table4[[#This Row],[total_amount]]/(1-Table4[[#This Row],[discount_pct]]/100)</f>
        <v>150</v>
      </c>
      <c r="I124">
        <v>10</v>
      </c>
      <c r="J124" s="2">
        <v>135</v>
      </c>
      <c r="K124" t="s">
        <v>320</v>
      </c>
      <c r="L124" s="2">
        <f>Table4[[#This Row],[total_amount]]*Table4[[#This Row],[refund_count]]</f>
        <v>0</v>
      </c>
      <c r="M124">
        <v>0</v>
      </c>
    </row>
    <row r="125" spans="1:13" x14ac:dyDescent="0.35">
      <c r="A125">
        <v>1124</v>
      </c>
      <c r="B125" s="1">
        <v>45844</v>
      </c>
      <c r="C125">
        <v>4</v>
      </c>
      <c r="D125">
        <v>178</v>
      </c>
      <c r="E125">
        <v>20</v>
      </c>
      <c r="F125">
        <v>3</v>
      </c>
      <c r="G125" s="2">
        <f>Table4[[#This Row],[gross_amount]]/Table4[[#This Row],[quantity]]</f>
        <v>170</v>
      </c>
      <c r="H125" s="2">
        <f>Table4[[#This Row],[total_amount]]/(1-Table4[[#This Row],[discount_pct]]/100)</f>
        <v>510</v>
      </c>
      <c r="I125">
        <v>10</v>
      </c>
      <c r="J125" s="2">
        <v>459</v>
      </c>
      <c r="K125" t="s">
        <v>322</v>
      </c>
      <c r="L125" s="2">
        <f>Table4[[#This Row],[total_amount]]*Table4[[#This Row],[refund_count]]</f>
        <v>0</v>
      </c>
      <c r="M125">
        <v>0</v>
      </c>
    </row>
    <row r="126" spans="1:13" x14ac:dyDescent="0.35">
      <c r="A126">
        <v>1125</v>
      </c>
      <c r="B126" s="1">
        <v>45875</v>
      </c>
      <c r="C126">
        <v>5</v>
      </c>
      <c r="D126">
        <v>64</v>
      </c>
      <c r="E126">
        <v>14</v>
      </c>
      <c r="F126">
        <v>3</v>
      </c>
      <c r="G126" s="2">
        <f>Table4[[#This Row],[gross_amount]]/Table4[[#This Row],[quantity]]</f>
        <v>150</v>
      </c>
      <c r="H126" s="2">
        <f>Table4[[#This Row],[total_amount]]/(1-Table4[[#This Row],[discount_pct]]/100)</f>
        <v>450</v>
      </c>
      <c r="I126">
        <v>10</v>
      </c>
      <c r="J126" s="2">
        <v>405</v>
      </c>
      <c r="K126" t="s">
        <v>322</v>
      </c>
      <c r="L126" s="2">
        <f>Table4[[#This Row],[total_amount]]*Table4[[#This Row],[refund_count]]</f>
        <v>0</v>
      </c>
      <c r="M126">
        <v>0</v>
      </c>
    </row>
    <row r="127" spans="1:13" x14ac:dyDescent="0.35">
      <c r="A127">
        <v>1126</v>
      </c>
      <c r="B127" s="1">
        <v>45875</v>
      </c>
      <c r="C127">
        <v>6</v>
      </c>
      <c r="D127">
        <v>11</v>
      </c>
      <c r="E127">
        <v>10</v>
      </c>
      <c r="F127">
        <v>1</v>
      </c>
      <c r="G127" s="2">
        <f>Table4[[#This Row],[gross_amount]]/Table4[[#This Row],[quantity]]</f>
        <v>300</v>
      </c>
      <c r="H127" s="2">
        <f>Table4[[#This Row],[total_amount]]/(1-Table4[[#This Row],[discount_pct]]/100)</f>
        <v>300</v>
      </c>
      <c r="I127">
        <v>15</v>
      </c>
      <c r="J127" s="2">
        <v>255</v>
      </c>
      <c r="K127" t="s">
        <v>322</v>
      </c>
      <c r="L127" s="2">
        <f>Table4[[#This Row],[total_amount]]*Table4[[#This Row],[refund_count]]</f>
        <v>0</v>
      </c>
      <c r="M127">
        <v>0</v>
      </c>
    </row>
    <row r="128" spans="1:13" x14ac:dyDescent="0.35">
      <c r="A128">
        <v>1127</v>
      </c>
      <c r="B128" s="1">
        <v>45875</v>
      </c>
      <c r="C128">
        <v>4</v>
      </c>
      <c r="D128">
        <v>86</v>
      </c>
      <c r="E128">
        <v>3</v>
      </c>
      <c r="F128">
        <v>1</v>
      </c>
      <c r="G128" s="2">
        <f>Table4[[#This Row],[gross_amount]]/Table4[[#This Row],[quantity]]</f>
        <v>180</v>
      </c>
      <c r="H128" s="2">
        <f>Table4[[#This Row],[total_amount]]/(1-Table4[[#This Row],[discount_pct]]/100)</f>
        <v>180</v>
      </c>
      <c r="I128">
        <v>0</v>
      </c>
      <c r="J128" s="2">
        <v>180</v>
      </c>
      <c r="K128" t="s">
        <v>322</v>
      </c>
      <c r="L128" s="2">
        <f>Table4[[#This Row],[total_amount]]*Table4[[#This Row],[refund_count]]</f>
        <v>0</v>
      </c>
      <c r="M128">
        <v>0</v>
      </c>
    </row>
    <row r="129" spans="1:13" x14ac:dyDescent="0.35">
      <c r="A129">
        <v>1128</v>
      </c>
      <c r="B129" s="1">
        <v>45875</v>
      </c>
      <c r="C129">
        <v>10</v>
      </c>
      <c r="D129">
        <v>124</v>
      </c>
      <c r="E129">
        <v>6</v>
      </c>
      <c r="F129">
        <v>3</v>
      </c>
      <c r="G129" s="2">
        <f>Table4[[#This Row],[gross_amount]]/Table4[[#This Row],[quantity]]</f>
        <v>170</v>
      </c>
      <c r="H129" s="2">
        <f>Table4[[#This Row],[total_amount]]/(1-Table4[[#This Row],[discount_pct]]/100)</f>
        <v>510</v>
      </c>
      <c r="I129">
        <v>20</v>
      </c>
      <c r="J129" s="2">
        <v>408</v>
      </c>
      <c r="K129" t="s">
        <v>322</v>
      </c>
      <c r="L129" s="2">
        <f>Table4[[#This Row],[total_amount]]*Table4[[#This Row],[refund_count]]</f>
        <v>0</v>
      </c>
      <c r="M129">
        <v>0</v>
      </c>
    </row>
    <row r="130" spans="1:13" x14ac:dyDescent="0.35">
      <c r="A130">
        <v>1129</v>
      </c>
      <c r="B130" s="1">
        <v>45906</v>
      </c>
      <c r="C130">
        <v>8</v>
      </c>
      <c r="D130">
        <v>157</v>
      </c>
      <c r="E130">
        <v>13</v>
      </c>
      <c r="F130">
        <v>1</v>
      </c>
      <c r="G130" s="2">
        <f>Table4[[#This Row],[gross_amount]]/Table4[[#This Row],[quantity]]</f>
        <v>300</v>
      </c>
      <c r="H130" s="2">
        <f>Table4[[#This Row],[total_amount]]/(1-Table4[[#This Row],[discount_pct]]/100)</f>
        <v>300</v>
      </c>
      <c r="I130">
        <v>15</v>
      </c>
      <c r="J130" s="2">
        <v>255</v>
      </c>
      <c r="K130" t="s">
        <v>322</v>
      </c>
      <c r="L130" s="2">
        <f>Table4[[#This Row],[total_amount]]*Table4[[#This Row],[refund_count]]</f>
        <v>0</v>
      </c>
      <c r="M130">
        <v>0</v>
      </c>
    </row>
    <row r="131" spans="1:13" x14ac:dyDescent="0.35">
      <c r="A131">
        <v>1130</v>
      </c>
      <c r="B131" s="1">
        <v>45906</v>
      </c>
      <c r="C131">
        <v>4</v>
      </c>
      <c r="D131">
        <v>33</v>
      </c>
      <c r="E131">
        <v>8</v>
      </c>
      <c r="F131">
        <v>3</v>
      </c>
      <c r="G131" s="2">
        <f>Table4[[#This Row],[gross_amount]]/Table4[[#This Row],[quantity]]</f>
        <v>160</v>
      </c>
      <c r="H131" s="2">
        <f>Table4[[#This Row],[total_amount]]/(1-Table4[[#This Row],[discount_pct]]/100)</f>
        <v>480</v>
      </c>
      <c r="I131">
        <v>5</v>
      </c>
      <c r="J131" s="2">
        <v>456</v>
      </c>
      <c r="K131" t="s">
        <v>321</v>
      </c>
      <c r="L131" s="2">
        <f>Table4[[#This Row],[total_amount]]*Table4[[#This Row],[refund_count]]</f>
        <v>0</v>
      </c>
      <c r="M131">
        <v>0</v>
      </c>
    </row>
    <row r="132" spans="1:13" x14ac:dyDescent="0.35">
      <c r="A132">
        <v>1131</v>
      </c>
      <c r="B132" s="1">
        <v>45906</v>
      </c>
      <c r="C132">
        <v>6</v>
      </c>
      <c r="D132">
        <v>65</v>
      </c>
      <c r="E132">
        <v>7</v>
      </c>
      <c r="F132">
        <v>1</v>
      </c>
      <c r="G132" s="2">
        <f>Table4[[#This Row],[gross_amount]]/Table4[[#This Row],[quantity]]</f>
        <v>180</v>
      </c>
      <c r="H132" s="2">
        <f>Table4[[#This Row],[total_amount]]/(1-Table4[[#This Row],[discount_pct]]/100)</f>
        <v>180</v>
      </c>
      <c r="I132">
        <v>5</v>
      </c>
      <c r="J132" s="2">
        <v>171</v>
      </c>
      <c r="K132" t="s">
        <v>255</v>
      </c>
      <c r="L132" s="2">
        <f>Table4[[#This Row],[total_amount]]*Table4[[#This Row],[refund_count]]</f>
        <v>0</v>
      </c>
      <c r="M132">
        <v>0</v>
      </c>
    </row>
    <row r="133" spans="1:13" x14ac:dyDescent="0.35">
      <c r="A133">
        <v>1132</v>
      </c>
      <c r="B133" s="1">
        <v>45906</v>
      </c>
      <c r="C133">
        <v>10</v>
      </c>
      <c r="D133">
        <v>143</v>
      </c>
      <c r="E133">
        <v>8</v>
      </c>
      <c r="F133">
        <v>3</v>
      </c>
      <c r="G133" s="2">
        <f>Table4[[#This Row],[gross_amount]]/Table4[[#This Row],[quantity]]</f>
        <v>160</v>
      </c>
      <c r="H133" s="2">
        <f>Table4[[#This Row],[total_amount]]/(1-Table4[[#This Row],[discount_pct]]/100)</f>
        <v>480</v>
      </c>
      <c r="I133">
        <v>20</v>
      </c>
      <c r="J133" s="2">
        <v>384</v>
      </c>
      <c r="K133" t="s">
        <v>320</v>
      </c>
      <c r="L133" s="2">
        <f>Table4[[#This Row],[total_amount]]*Table4[[#This Row],[refund_count]]</f>
        <v>0</v>
      </c>
      <c r="M133">
        <v>0</v>
      </c>
    </row>
    <row r="134" spans="1:13" x14ac:dyDescent="0.35">
      <c r="A134">
        <v>1133</v>
      </c>
      <c r="B134" s="1">
        <v>45936</v>
      </c>
      <c r="C134">
        <v>10</v>
      </c>
      <c r="D134">
        <v>118</v>
      </c>
      <c r="E134">
        <v>10</v>
      </c>
      <c r="F134">
        <v>3</v>
      </c>
      <c r="G134" s="2">
        <f>Table4[[#This Row],[gross_amount]]/Table4[[#This Row],[quantity]]</f>
        <v>150</v>
      </c>
      <c r="H134" s="2">
        <f>Table4[[#This Row],[total_amount]]/(1-Table4[[#This Row],[discount_pct]]/100)</f>
        <v>450</v>
      </c>
      <c r="I134">
        <v>0</v>
      </c>
      <c r="J134" s="2">
        <v>450</v>
      </c>
      <c r="K134" t="s">
        <v>322</v>
      </c>
      <c r="L134" s="2">
        <f>Table4[[#This Row],[total_amount]]*Table4[[#This Row],[refund_count]]</f>
        <v>0</v>
      </c>
      <c r="M134">
        <v>0</v>
      </c>
    </row>
    <row r="135" spans="1:13" x14ac:dyDescent="0.35">
      <c r="A135">
        <v>1134</v>
      </c>
      <c r="B135" s="1">
        <v>45936</v>
      </c>
      <c r="C135">
        <v>8</v>
      </c>
      <c r="D135">
        <v>80</v>
      </c>
      <c r="E135">
        <v>7</v>
      </c>
      <c r="F135">
        <v>2</v>
      </c>
      <c r="G135" s="2">
        <f>Table4[[#This Row],[gross_amount]]/Table4[[#This Row],[quantity]]</f>
        <v>160</v>
      </c>
      <c r="H135" s="2">
        <f>Table4[[#This Row],[total_amount]]/(1-Table4[[#This Row],[discount_pct]]/100)</f>
        <v>320</v>
      </c>
      <c r="I135">
        <v>0</v>
      </c>
      <c r="J135" s="2">
        <v>320</v>
      </c>
      <c r="K135" t="s">
        <v>322</v>
      </c>
      <c r="L135" s="2">
        <f>Table4[[#This Row],[total_amount]]*Table4[[#This Row],[refund_count]]</f>
        <v>0</v>
      </c>
      <c r="M135">
        <v>0</v>
      </c>
    </row>
    <row r="136" spans="1:13" x14ac:dyDescent="0.35">
      <c r="A136">
        <v>1135</v>
      </c>
      <c r="B136" s="1">
        <v>45936</v>
      </c>
      <c r="C136">
        <v>1</v>
      </c>
      <c r="D136">
        <v>154</v>
      </c>
      <c r="E136">
        <v>17</v>
      </c>
      <c r="F136">
        <v>3</v>
      </c>
      <c r="G136" s="2">
        <f>Table4[[#This Row],[gross_amount]]/Table4[[#This Row],[quantity]]</f>
        <v>150</v>
      </c>
      <c r="H136" s="2">
        <f>Table4[[#This Row],[total_amount]]/(1-Table4[[#This Row],[discount_pct]]/100)</f>
        <v>450</v>
      </c>
      <c r="I136">
        <v>20</v>
      </c>
      <c r="J136" s="2">
        <v>360</v>
      </c>
      <c r="K136" t="s">
        <v>322</v>
      </c>
      <c r="L136" s="2">
        <f>Table4[[#This Row],[total_amount]]*Table4[[#This Row],[refund_count]]</f>
        <v>0</v>
      </c>
      <c r="M136">
        <v>0</v>
      </c>
    </row>
    <row r="137" spans="1:13" x14ac:dyDescent="0.35">
      <c r="A137">
        <v>1136</v>
      </c>
      <c r="B137" s="1">
        <v>45936</v>
      </c>
      <c r="C137">
        <v>6</v>
      </c>
      <c r="D137">
        <v>241</v>
      </c>
      <c r="E137">
        <v>12</v>
      </c>
      <c r="F137">
        <v>1</v>
      </c>
      <c r="G137" s="2">
        <f>Table4[[#This Row],[gross_amount]]/Table4[[#This Row],[quantity]]</f>
        <v>180</v>
      </c>
      <c r="H137" s="2">
        <f>Table4[[#This Row],[total_amount]]/(1-Table4[[#This Row],[discount_pct]]/100)</f>
        <v>180</v>
      </c>
      <c r="I137">
        <v>10</v>
      </c>
      <c r="J137" s="2">
        <v>162</v>
      </c>
      <c r="K137" t="s">
        <v>255</v>
      </c>
      <c r="L137" s="2">
        <f>Table4[[#This Row],[total_amount]]*Table4[[#This Row],[refund_count]]</f>
        <v>0</v>
      </c>
      <c r="M137">
        <v>0</v>
      </c>
    </row>
    <row r="138" spans="1:13" x14ac:dyDescent="0.35">
      <c r="A138">
        <v>1137</v>
      </c>
      <c r="B138" s="1">
        <v>45967</v>
      </c>
      <c r="C138">
        <v>4</v>
      </c>
      <c r="D138">
        <v>232</v>
      </c>
      <c r="E138">
        <v>10</v>
      </c>
      <c r="F138">
        <v>2</v>
      </c>
      <c r="G138" s="2">
        <f>Table4[[#This Row],[gross_amount]]/Table4[[#This Row],[quantity]]</f>
        <v>170</v>
      </c>
      <c r="H138" s="2">
        <f>Table4[[#This Row],[total_amount]]/(1-Table4[[#This Row],[discount_pct]]/100)</f>
        <v>340</v>
      </c>
      <c r="I138">
        <v>5</v>
      </c>
      <c r="J138" s="2">
        <v>323</v>
      </c>
      <c r="K138" t="s">
        <v>322</v>
      </c>
      <c r="L138" s="2">
        <f>Table4[[#This Row],[total_amount]]*Table4[[#This Row],[refund_count]]</f>
        <v>0</v>
      </c>
      <c r="M138">
        <v>0</v>
      </c>
    </row>
    <row r="139" spans="1:13" x14ac:dyDescent="0.35">
      <c r="A139">
        <v>1138</v>
      </c>
      <c r="B139" s="1">
        <v>45967</v>
      </c>
      <c r="C139">
        <v>1</v>
      </c>
      <c r="D139">
        <v>214</v>
      </c>
      <c r="E139">
        <v>8</v>
      </c>
      <c r="F139">
        <v>3</v>
      </c>
      <c r="G139" s="2">
        <f>Table4[[#This Row],[gross_amount]]/Table4[[#This Row],[quantity]]</f>
        <v>180</v>
      </c>
      <c r="H139" s="2">
        <f>Table4[[#This Row],[total_amount]]/(1-Table4[[#This Row],[discount_pct]]/100)</f>
        <v>540</v>
      </c>
      <c r="I139">
        <v>0</v>
      </c>
      <c r="J139" s="2">
        <v>540</v>
      </c>
      <c r="K139" t="s">
        <v>255</v>
      </c>
      <c r="L139" s="2">
        <f>Table4[[#This Row],[total_amount]]*Table4[[#This Row],[refund_count]]</f>
        <v>0</v>
      </c>
      <c r="M139">
        <v>0</v>
      </c>
    </row>
    <row r="140" spans="1:13" x14ac:dyDescent="0.35">
      <c r="A140">
        <v>1139</v>
      </c>
      <c r="B140" s="1">
        <v>45967</v>
      </c>
      <c r="C140">
        <v>5</v>
      </c>
      <c r="D140">
        <v>244</v>
      </c>
      <c r="E140">
        <v>17</v>
      </c>
      <c r="F140">
        <v>3</v>
      </c>
      <c r="G140" s="2">
        <f>Table4[[#This Row],[gross_amount]]/Table4[[#This Row],[quantity]]</f>
        <v>150</v>
      </c>
      <c r="H140" s="2">
        <f>Table4[[#This Row],[total_amount]]/(1-Table4[[#This Row],[discount_pct]]/100)</f>
        <v>450</v>
      </c>
      <c r="I140">
        <v>0</v>
      </c>
      <c r="J140" s="2">
        <v>450</v>
      </c>
      <c r="K140" t="s">
        <v>321</v>
      </c>
      <c r="L140" s="2">
        <f>Table4[[#This Row],[total_amount]]*Table4[[#This Row],[refund_count]]</f>
        <v>0</v>
      </c>
      <c r="M140">
        <v>0</v>
      </c>
    </row>
    <row r="141" spans="1:13" x14ac:dyDescent="0.35">
      <c r="A141">
        <v>1140</v>
      </c>
      <c r="B141" s="1">
        <v>45967</v>
      </c>
      <c r="C141">
        <v>8</v>
      </c>
      <c r="D141">
        <v>245</v>
      </c>
      <c r="E141">
        <v>6</v>
      </c>
      <c r="F141">
        <v>2</v>
      </c>
      <c r="G141" s="2">
        <f>Table4[[#This Row],[gross_amount]]/Table4[[#This Row],[quantity]]</f>
        <v>170</v>
      </c>
      <c r="H141" s="2">
        <f>Table4[[#This Row],[total_amount]]/(1-Table4[[#This Row],[discount_pct]]/100)</f>
        <v>340</v>
      </c>
      <c r="I141">
        <v>0</v>
      </c>
      <c r="J141" s="2">
        <v>340</v>
      </c>
      <c r="K141" t="s">
        <v>322</v>
      </c>
      <c r="L141" s="2">
        <f>Table4[[#This Row],[total_amount]]*Table4[[#This Row],[refund_count]]</f>
        <v>0</v>
      </c>
      <c r="M141">
        <v>0</v>
      </c>
    </row>
    <row r="142" spans="1:13" x14ac:dyDescent="0.35">
      <c r="A142">
        <v>1141</v>
      </c>
      <c r="B142" s="1">
        <v>45997</v>
      </c>
      <c r="C142">
        <v>9</v>
      </c>
      <c r="D142">
        <v>65</v>
      </c>
      <c r="E142">
        <v>10</v>
      </c>
      <c r="F142">
        <v>1</v>
      </c>
      <c r="G142" s="2">
        <f>Table4[[#This Row],[gross_amount]]/Table4[[#This Row],[quantity]]</f>
        <v>210</v>
      </c>
      <c r="H142" s="2">
        <f>Table4[[#This Row],[total_amount]]/(1-Table4[[#This Row],[discount_pct]]/100)</f>
        <v>210</v>
      </c>
      <c r="I142">
        <v>10</v>
      </c>
      <c r="J142" s="2">
        <v>189</v>
      </c>
      <c r="K142" t="s">
        <v>320</v>
      </c>
      <c r="L142" s="2">
        <f>Table4[[#This Row],[total_amount]]*Table4[[#This Row],[refund_count]]</f>
        <v>0</v>
      </c>
      <c r="M142">
        <v>0</v>
      </c>
    </row>
    <row r="143" spans="1:13" x14ac:dyDescent="0.35">
      <c r="A143">
        <v>1142</v>
      </c>
      <c r="B143" s="1">
        <v>45997</v>
      </c>
      <c r="C143">
        <v>3</v>
      </c>
      <c r="D143">
        <v>182</v>
      </c>
      <c r="E143">
        <v>2</v>
      </c>
      <c r="F143">
        <v>3</v>
      </c>
      <c r="G143" s="2">
        <f>Table4[[#This Row],[gross_amount]]/Table4[[#This Row],[quantity]]</f>
        <v>140</v>
      </c>
      <c r="H143" s="2">
        <f>Table4[[#This Row],[total_amount]]/(1-Table4[[#This Row],[discount_pct]]/100)</f>
        <v>420</v>
      </c>
      <c r="I143">
        <v>5</v>
      </c>
      <c r="J143" s="2">
        <v>399</v>
      </c>
      <c r="K143" t="s">
        <v>322</v>
      </c>
      <c r="L143" s="2">
        <f>Table4[[#This Row],[total_amount]]*Table4[[#This Row],[refund_count]]</f>
        <v>0</v>
      </c>
      <c r="M143">
        <v>0</v>
      </c>
    </row>
    <row r="144" spans="1:13" x14ac:dyDescent="0.35">
      <c r="A144">
        <v>1143</v>
      </c>
      <c r="B144" s="1">
        <v>45997</v>
      </c>
      <c r="C144">
        <v>8</v>
      </c>
      <c r="D144">
        <v>132</v>
      </c>
      <c r="E144">
        <v>17</v>
      </c>
      <c r="F144">
        <v>1</v>
      </c>
      <c r="G144" s="2">
        <f>Table4[[#This Row],[gross_amount]]/Table4[[#This Row],[quantity]]</f>
        <v>270</v>
      </c>
      <c r="H144" s="2">
        <f>Table4[[#This Row],[total_amount]]/(1-Table4[[#This Row],[discount_pct]]/100)</f>
        <v>270</v>
      </c>
      <c r="I144">
        <v>20</v>
      </c>
      <c r="J144" s="2">
        <v>216</v>
      </c>
      <c r="K144" t="s">
        <v>322</v>
      </c>
      <c r="L144" s="2">
        <f>Table4[[#This Row],[total_amount]]*Table4[[#This Row],[refund_count]]</f>
        <v>0</v>
      </c>
      <c r="M144">
        <v>0</v>
      </c>
    </row>
    <row r="145" spans="1:13" x14ac:dyDescent="0.35">
      <c r="A145">
        <v>1144</v>
      </c>
      <c r="B145" s="1">
        <v>45997</v>
      </c>
      <c r="C145">
        <v>5</v>
      </c>
      <c r="D145">
        <v>20</v>
      </c>
      <c r="E145">
        <v>19</v>
      </c>
      <c r="F145">
        <v>1</v>
      </c>
      <c r="G145" s="2">
        <f>Table4[[#This Row],[gross_amount]]/Table4[[#This Row],[quantity]]</f>
        <v>240</v>
      </c>
      <c r="H145" s="2">
        <f>Table4[[#This Row],[total_amount]]/(1-Table4[[#This Row],[discount_pct]]/100)</f>
        <v>240</v>
      </c>
      <c r="I145">
        <v>0</v>
      </c>
      <c r="J145" s="2">
        <v>240</v>
      </c>
      <c r="K145" t="s">
        <v>321</v>
      </c>
      <c r="L145" s="2">
        <f>Table4[[#This Row],[total_amount]]*Table4[[#This Row],[refund_count]]</f>
        <v>0</v>
      </c>
      <c r="M145">
        <v>0</v>
      </c>
    </row>
    <row r="146" spans="1:13" x14ac:dyDescent="0.35">
      <c r="A146">
        <v>1145</v>
      </c>
      <c r="B146" s="1">
        <v>45664</v>
      </c>
      <c r="C146">
        <v>7</v>
      </c>
      <c r="D146">
        <v>165</v>
      </c>
      <c r="E146">
        <v>7</v>
      </c>
      <c r="F146">
        <v>1</v>
      </c>
      <c r="G146" s="2">
        <f>Table4[[#This Row],[gross_amount]]/Table4[[#This Row],[quantity]]</f>
        <v>200</v>
      </c>
      <c r="H146" s="2">
        <f>Table4[[#This Row],[total_amount]]/(1-Table4[[#This Row],[discount_pct]]/100)</f>
        <v>200</v>
      </c>
      <c r="I146">
        <v>10</v>
      </c>
      <c r="J146" s="2">
        <v>180</v>
      </c>
      <c r="K146" t="s">
        <v>320</v>
      </c>
      <c r="L146" s="2">
        <f>Table4[[#This Row],[total_amount]]*Table4[[#This Row],[refund_count]]</f>
        <v>0</v>
      </c>
      <c r="M146">
        <v>0</v>
      </c>
    </row>
    <row r="147" spans="1:13" x14ac:dyDescent="0.35">
      <c r="A147">
        <v>1146</v>
      </c>
      <c r="B147" s="1">
        <v>45664</v>
      </c>
      <c r="C147">
        <v>4</v>
      </c>
      <c r="D147">
        <v>151</v>
      </c>
      <c r="E147">
        <v>12</v>
      </c>
      <c r="F147">
        <v>2</v>
      </c>
      <c r="G147" s="2">
        <f>Table4[[#This Row],[gross_amount]]/Table4[[#This Row],[quantity]]</f>
        <v>190</v>
      </c>
      <c r="H147" s="2">
        <f>Table4[[#This Row],[total_amount]]/(1-Table4[[#This Row],[discount_pct]]/100)</f>
        <v>380</v>
      </c>
      <c r="I147">
        <v>0</v>
      </c>
      <c r="J147" s="2">
        <v>380</v>
      </c>
      <c r="K147" t="s">
        <v>322</v>
      </c>
      <c r="L147" s="2">
        <f>Table4[[#This Row],[total_amount]]*Table4[[#This Row],[refund_count]]</f>
        <v>0</v>
      </c>
      <c r="M147">
        <v>0</v>
      </c>
    </row>
    <row r="148" spans="1:13" x14ac:dyDescent="0.35">
      <c r="A148">
        <v>1147</v>
      </c>
      <c r="B148" s="1">
        <v>45664</v>
      </c>
      <c r="C148">
        <v>7</v>
      </c>
      <c r="D148">
        <v>208</v>
      </c>
      <c r="E148">
        <v>1</v>
      </c>
      <c r="F148">
        <v>1</v>
      </c>
      <c r="G148" s="2">
        <f>Table4[[#This Row],[gross_amount]]/Table4[[#This Row],[quantity]]</f>
        <v>160</v>
      </c>
      <c r="H148" s="2">
        <f>Table4[[#This Row],[total_amount]]/(1-Table4[[#This Row],[discount_pct]]/100)</f>
        <v>160</v>
      </c>
      <c r="I148">
        <v>0</v>
      </c>
      <c r="J148" s="2">
        <v>160</v>
      </c>
      <c r="K148" t="s">
        <v>320</v>
      </c>
      <c r="L148" s="2">
        <f>Table4[[#This Row],[total_amount]]*Table4[[#This Row],[refund_count]]</f>
        <v>0</v>
      </c>
      <c r="M148">
        <v>0</v>
      </c>
    </row>
    <row r="149" spans="1:13" x14ac:dyDescent="0.35">
      <c r="A149">
        <v>1148</v>
      </c>
      <c r="B149" s="1">
        <v>45664</v>
      </c>
      <c r="C149">
        <v>1</v>
      </c>
      <c r="D149">
        <v>221</v>
      </c>
      <c r="E149">
        <v>2</v>
      </c>
      <c r="F149">
        <v>1</v>
      </c>
      <c r="G149" s="2">
        <f>Table4[[#This Row],[gross_amount]]/Table4[[#This Row],[quantity]]</f>
        <v>180</v>
      </c>
      <c r="H149" s="2">
        <f>Table4[[#This Row],[total_amount]]/(1-Table4[[#This Row],[discount_pct]]/100)</f>
        <v>180</v>
      </c>
      <c r="I149">
        <v>5</v>
      </c>
      <c r="J149" s="2">
        <v>171</v>
      </c>
      <c r="K149" t="s">
        <v>320</v>
      </c>
      <c r="L149" s="2">
        <f>Table4[[#This Row],[total_amount]]*Table4[[#This Row],[refund_count]]</f>
        <v>0</v>
      </c>
      <c r="M149">
        <v>0</v>
      </c>
    </row>
    <row r="150" spans="1:13" x14ac:dyDescent="0.35">
      <c r="A150">
        <v>1149</v>
      </c>
      <c r="B150" s="1">
        <v>45695</v>
      </c>
      <c r="C150">
        <v>10</v>
      </c>
      <c r="D150">
        <v>193</v>
      </c>
      <c r="E150">
        <v>18</v>
      </c>
      <c r="F150">
        <v>2</v>
      </c>
      <c r="G150" s="2">
        <f>Table4[[#This Row],[gross_amount]]/Table4[[#This Row],[quantity]]</f>
        <v>170</v>
      </c>
      <c r="H150" s="2">
        <f>Table4[[#This Row],[total_amount]]/(1-Table4[[#This Row],[discount_pct]]/100)</f>
        <v>340</v>
      </c>
      <c r="I150">
        <v>5</v>
      </c>
      <c r="J150" s="2">
        <v>323</v>
      </c>
      <c r="K150" t="s">
        <v>322</v>
      </c>
      <c r="L150" s="2">
        <f>Table4[[#This Row],[total_amount]]*Table4[[#This Row],[refund_count]]</f>
        <v>0</v>
      </c>
      <c r="M150">
        <v>0</v>
      </c>
    </row>
    <row r="151" spans="1:13" x14ac:dyDescent="0.35">
      <c r="A151">
        <v>1150</v>
      </c>
      <c r="B151" s="1">
        <v>45695</v>
      </c>
      <c r="C151">
        <v>5</v>
      </c>
      <c r="D151">
        <v>203</v>
      </c>
      <c r="E151">
        <v>15</v>
      </c>
      <c r="F151">
        <v>1</v>
      </c>
      <c r="G151" s="2">
        <f>Table4[[#This Row],[gross_amount]]/Table4[[#This Row],[quantity]]</f>
        <v>240</v>
      </c>
      <c r="H151" s="2">
        <f>Table4[[#This Row],[total_amount]]/(1-Table4[[#This Row],[discount_pct]]/100)</f>
        <v>240</v>
      </c>
      <c r="I151">
        <v>5</v>
      </c>
      <c r="J151" s="2">
        <v>228</v>
      </c>
      <c r="K151" t="s">
        <v>322</v>
      </c>
      <c r="L151" s="2">
        <f>Table4[[#This Row],[total_amount]]*Table4[[#This Row],[refund_count]]</f>
        <v>0</v>
      </c>
      <c r="M151">
        <v>0</v>
      </c>
    </row>
    <row r="152" spans="1:13" x14ac:dyDescent="0.35">
      <c r="A152">
        <v>1151</v>
      </c>
      <c r="B152" s="1">
        <v>45695</v>
      </c>
      <c r="C152">
        <v>5</v>
      </c>
      <c r="D152">
        <v>149</v>
      </c>
      <c r="E152">
        <v>1</v>
      </c>
      <c r="F152">
        <v>3</v>
      </c>
      <c r="G152" s="2">
        <f>Table4[[#This Row],[gross_amount]]/Table4[[#This Row],[quantity]]</f>
        <v>180</v>
      </c>
      <c r="H152" s="2">
        <f>Table4[[#This Row],[total_amount]]/(1-Table4[[#This Row],[discount_pct]]/100)</f>
        <v>540</v>
      </c>
      <c r="I152">
        <v>0</v>
      </c>
      <c r="J152" s="2">
        <v>540</v>
      </c>
      <c r="K152" t="s">
        <v>321</v>
      </c>
      <c r="L152" s="2">
        <f>Table4[[#This Row],[total_amount]]*Table4[[#This Row],[refund_count]]</f>
        <v>0</v>
      </c>
      <c r="M152">
        <v>0</v>
      </c>
    </row>
    <row r="153" spans="1:13" x14ac:dyDescent="0.35">
      <c r="A153">
        <v>1152</v>
      </c>
      <c r="B153" s="1">
        <v>45695</v>
      </c>
      <c r="C153">
        <v>4</v>
      </c>
      <c r="D153">
        <v>246</v>
      </c>
      <c r="E153">
        <v>14</v>
      </c>
      <c r="F153">
        <v>3</v>
      </c>
      <c r="G153" s="2">
        <f>Table4[[#This Row],[gross_amount]]/Table4[[#This Row],[quantity]]</f>
        <v>200</v>
      </c>
      <c r="H153" s="2">
        <f>Table4[[#This Row],[total_amount]]/(1-Table4[[#This Row],[discount_pct]]/100)</f>
        <v>600</v>
      </c>
      <c r="I153">
        <v>0</v>
      </c>
      <c r="J153" s="2">
        <v>600</v>
      </c>
      <c r="K153" t="s">
        <v>255</v>
      </c>
      <c r="L153" s="2">
        <f>Table4[[#This Row],[total_amount]]*Table4[[#This Row],[refund_count]]</f>
        <v>0</v>
      </c>
      <c r="M153">
        <v>0</v>
      </c>
    </row>
    <row r="154" spans="1:13" x14ac:dyDescent="0.35">
      <c r="A154">
        <v>1153</v>
      </c>
      <c r="B154" s="1">
        <v>45723</v>
      </c>
      <c r="C154">
        <v>9</v>
      </c>
      <c r="D154">
        <v>19</v>
      </c>
      <c r="E154">
        <v>5</v>
      </c>
      <c r="F154">
        <v>2</v>
      </c>
      <c r="G154" s="2">
        <f>Table4[[#This Row],[gross_amount]]/Table4[[#This Row],[quantity]]</f>
        <v>160</v>
      </c>
      <c r="H154" s="2">
        <f>Table4[[#This Row],[total_amount]]/(1-Table4[[#This Row],[discount_pct]]/100)</f>
        <v>320</v>
      </c>
      <c r="I154">
        <v>15</v>
      </c>
      <c r="J154" s="2">
        <v>272</v>
      </c>
      <c r="K154" t="s">
        <v>321</v>
      </c>
      <c r="L154" s="2">
        <f>Table4[[#This Row],[total_amount]]*Table4[[#This Row],[refund_count]]</f>
        <v>0</v>
      </c>
      <c r="M154">
        <v>0</v>
      </c>
    </row>
    <row r="155" spans="1:13" x14ac:dyDescent="0.35">
      <c r="A155">
        <v>1154</v>
      </c>
      <c r="B155" s="1">
        <v>45723</v>
      </c>
      <c r="C155">
        <v>8</v>
      </c>
      <c r="D155">
        <v>120</v>
      </c>
      <c r="E155">
        <v>17</v>
      </c>
      <c r="F155">
        <v>1</v>
      </c>
      <c r="G155" s="2">
        <f>Table4[[#This Row],[gross_amount]]/Table4[[#This Row],[quantity]]</f>
        <v>180</v>
      </c>
      <c r="H155" s="2">
        <f>Table4[[#This Row],[total_amount]]/(1-Table4[[#This Row],[discount_pct]]/100)</f>
        <v>180</v>
      </c>
      <c r="I155">
        <v>5</v>
      </c>
      <c r="J155" s="2">
        <v>171</v>
      </c>
      <c r="K155" t="s">
        <v>322</v>
      </c>
      <c r="L155" s="2">
        <f>Table4[[#This Row],[total_amount]]*Table4[[#This Row],[refund_count]]</f>
        <v>0</v>
      </c>
      <c r="M155">
        <v>0</v>
      </c>
    </row>
    <row r="156" spans="1:13" x14ac:dyDescent="0.35">
      <c r="A156">
        <v>1155</v>
      </c>
      <c r="B156" s="1">
        <v>45723</v>
      </c>
      <c r="C156">
        <v>7</v>
      </c>
      <c r="D156">
        <v>141</v>
      </c>
      <c r="E156">
        <v>20</v>
      </c>
      <c r="F156">
        <v>1</v>
      </c>
      <c r="G156" s="2">
        <f>Table4[[#This Row],[gross_amount]]/Table4[[#This Row],[quantity]]</f>
        <v>340</v>
      </c>
      <c r="H156" s="2">
        <f>Table4[[#This Row],[total_amount]]/(1-Table4[[#This Row],[discount_pct]]/100)</f>
        <v>340</v>
      </c>
      <c r="I156">
        <v>5</v>
      </c>
      <c r="J156" s="2">
        <v>323</v>
      </c>
      <c r="K156" t="s">
        <v>321</v>
      </c>
      <c r="L156" s="2">
        <f>Table4[[#This Row],[total_amount]]*Table4[[#This Row],[refund_count]]</f>
        <v>0</v>
      </c>
      <c r="M156">
        <v>0</v>
      </c>
    </row>
    <row r="157" spans="1:13" x14ac:dyDescent="0.35">
      <c r="A157">
        <v>1156</v>
      </c>
      <c r="B157" s="1">
        <v>45723</v>
      </c>
      <c r="C157">
        <v>4</v>
      </c>
      <c r="D157">
        <v>184</v>
      </c>
      <c r="E157">
        <v>6</v>
      </c>
      <c r="F157">
        <v>2</v>
      </c>
      <c r="G157" s="2">
        <f>Table4[[#This Row],[gross_amount]]/Table4[[#This Row],[quantity]]</f>
        <v>190</v>
      </c>
      <c r="H157" s="2">
        <f>Table4[[#This Row],[total_amount]]/(1-Table4[[#This Row],[discount_pct]]/100)</f>
        <v>380</v>
      </c>
      <c r="I157">
        <v>0</v>
      </c>
      <c r="J157" s="2">
        <v>380</v>
      </c>
      <c r="K157" t="s">
        <v>321</v>
      </c>
      <c r="L157" s="2">
        <f>Table4[[#This Row],[total_amount]]*Table4[[#This Row],[refund_count]]</f>
        <v>0</v>
      </c>
      <c r="M157">
        <v>0</v>
      </c>
    </row>
    <row r="158" spans="1:13" x14ac:dyDescent="0.35">
      <c r="A158">
        <v>1157</v>
      </c>
      <c r="B158" s="1">
        <v>45754</v>
      </c>
      <c r="C158">
        <v>3</v>
      </c>
      <c r="D158">
        <v>163</v>
      </c>
      <c r="E158">
        <v>9</v>
      </c>
      <c r="F158">
        <v>2</v>
      </c>
      <c r="G158" s="2">
        <f>Table4[[#This Row],[gross_amount]]/Table4[[#This Row],[quantity]]</f>
        <v>160</v>
      </c>
      <c r="H158" s="2">
        <f>Table4[[#This Row],[total_amount]]/(1-Table4[[#This Row],[discount_pct]]/100)</f>
        <v>320</v>
      </c>
      <c r="I158">
        <v>15</v>
      </c>
      <c r="J158" s="2">
        <v>272</v>
      </c>
      <c r="K158" t="s">
        <v>320</v>
      </c>
      <c r="L158" s="2">
        <f>Table4[[#This Row],[total_amount]]*Table4[[#This Row],[refund_count]]</f>
        <v>0</v>
      </c>
      <c r="M158">
        <v>0</v>
      </c>
    </row>
    <row r="159" spans="1:13" x14ac:dyDescent="0.35">
      <c r="A159">
        <v>1158</v>
      </c>
      <c r="B159" s="1">
        <v>45754</v>
      </c>
      <c r="C159">
        <v>6</v>
      </c>
      <c r="D159">
        <v>167</v>
      </c>
      <c r="E159">
        <v>11</v>
      </c>
      <c r="F159">
        <v>3</v>
      </c>
      <c r="G159" s="2">
        <f>Table4[[#This Row],[gross_amount]]/Table4[[#This Row],[quantity]]</f>
        <v>120</v>
      </c>
      <c r="H159" s="2">
        <f>Table4[[#This Row],[total_amount]]/(1-Table4[[#This Row],[discount_pct]]/100)</f>
        <v>360</v>
      </c>
      <c r="I159">
        <v>20</v>
      </c>
      <c r="J159" s="2">
        <v>288</v>
      </c>
      <c r="K159" t="s">
        <v>322</v>
      </c>
      <c r="L159" s="2">
        <f>Table4[[#This Row],[total_amount]]*Table4[[#This Row],[refund_count]]</f>
        <v>0</v>
      </c>
      <c r="M159">
        <v>0</v>
      </c>
    </row>
    <row r="160" spans="1:13" x14ac:dyDescent="0.35">
      <c r="A160">
        <v>1159</v>
      </c>
      <c r="B160" s="1">
        <v>45754</v>
      </c>
      <c r="C160">
        <v>6</v>
      </c>
      <c r="D160">
        <v>219</v>
      </c>
      <c r="E160">
        <v>3</v>
      </c>
      <c r="F160">
        <v>3</v>
      </c>
      <c r="G160" s="2">
        <f>Table4[[#This Row],[gross_amount]]/Table4[[#This Row],[quantity]]</f>
        <v>160</v>
      </c>
      <c r="H160" s="2">
        <f>Table4[[#This Row],[total_amount]]/(1-Table4[[#This Row],[discount_pct]]/100)</f>
        <v>480</v>
      </c>
      <c r="I160">
        <v>0</v>
      </c>
      <c r="J160" s="2">
        <v>480</v>
      </c>
      <c r="K160" t="s">
        <v>255</v>
      </c>
      <c r="L160" s="2">
        <f>Table4[[#This Row],[total_amount]]*Table4[[#This Row],[refund_count]]</f>
        <v>0</v>
      </c>
      <c r="M160">
        <v>0</v>
      </c>
    </row>
    <row r="161" spans="1:13" x14ac:dyDescent="0.35">
      <c r="A161">
        <v>1160</v>
      </c>
      <c r="B161" s="1">
        <v>45754</v>
      </c>
      <c r="C161">
        <v>4</v>
      </c>
      <c r="D161">
        <v>196</v>
      </c>
      <c r="E161">
        <v>3</v>
      </c>
      <c r="F161">
        <v>3</v>
      </c>
      <c r="G161" s="2">
        <f>Table4[[#This Row],[gross_amount]]/Table4[[#This Row],[quantity]]</f>
        <v>160</v>
      </c>
      <c r="H161" s="2">
        <f>Table4[[#This Row],[total_amount]]/(1-Table4[[#This Row],[discount_pct]]/100)</f>
        <v>480</v>
      </c>
      <c r="I161">
        <v>5</v>
      </c>
      <c r="J161" s="2">
        <v>456</v>
      </c>
      <c r="K161" t="s">
        <v>322</v>
      </c>
      <c r="L161" s="2">
        <f>Table4[[#This Row],[total_amount]]*Table4[[#This Row],[refund_count]]</f>
        <v>0</v>
      </c>
      <c r="M161">
        <v>0</v>
      </c>
    </row>
    <row r="162" spans="1:13" x14ac:dyDescent="0.35">
      <c r="A162">
        <v>1161</v>
      </c>
      <c r="B162" s="1">
        <v>45784</v>
      </c>
      <c r="C162">
        <v>9</v>
      </c>
      <c r="D162">
        <v>69</v>
      </c>
      <c r="E162">
        <v>19</v>
      </c>
      <c r="F162">
        <v>3</v>
      </c>
      <c r="G162" s="2">
        <f>Table4[[#This Row],[gross_amount]]/Table4[[#This Row],[quantity]]</f>
        <v>180</v>
      </c>
      <c r="H162" s="2">
        <f>Table4[[#This Row],[total_amount]]/(1-Table4[[#This Row],[discount_pct]]/100)</f>
        <v>540</v>
      </c>
      <c r="I162">
        <v>0</v>
      </c>
      <c r="J162" s="2">
        <v>540</v>
      </c>
      <c r="K162" t="s">
        <v>321</v>
      </c>
      <c r="L162" s="2">
        <f>Table4[[#This Row],[total_amount]]*Table4[[#This Row],[refund_count]]</f>
        <v>0</v>
      </c>
      <c r="M162">
        <v>0</v>
      </c>
    </row>
    <row r="163" spans="1:13" x14ac:dyDescent="0.35">
      <c r="A163">
        <v>1162</v>
      </c>
      <c r="B163" s="1">
        <v>45784</v>
      </c>
      <c r="C163">
        <v>2</v>
      </c>
      <c r="D163">
        <v>79</v>
      </c>
      <c r="E163">
        <v>5</v>
      </c>
      <c r="F163">
        <v>1</v>
      </c>
      <c r="G163" s="2">
        <f>Table4[[#This Row],[gross_amount]]/Table4[[#This Row],[quantity]]</f>
        <v>160</v>
      </c>
      <c r="H163" s="2">
        <f>Table4[[#This Row],[total_amount]]/(1-Table4[[#This Row],[discount_pct]]/100)</f>
        <v>160</v>
      </c>
      <c r="I163">
        <v>0</v>
      </c>
      <c r="J163" s="2">
        <v>160</v>
      </c>
      <c r="K163" t="s">
        <v>322</v>
      </c>
      <c r="L163" s="2">
        <f>Table4[[#This Row],[total_amount]]*Table4[[#This Row],[refund_count]]</f>
        <v>0</v>
      </c>
      <c r="M163">
        <v>0</v>
      </c>
    </row>
    <row r="164" spans="1:13" x14ac:dyDescent="0.35">
      <c r="A164">
        <v>1163</v>
      </c>
      <c r="B164" s="1">
        <v>45784</v>
      </c>
      <c r="C164">
        <v>3</v>
      </c>
      <c r="D164">
        <v>244</v>
      </c>
      <c r="E164">
        <v>18</v>
      </c>
      <c r="F164">
        <v>2</v>
      </c>
      <c r="G164" s="2">
        <f>Table4[[#This Row],[gross_amount]]/Table4[[#This Row],[quantity]]</f>
        <v>180</v>
      </c>
      <c r="H164" s="2">
        <f>Table4[[#This Row],[total_amount]]/(1-Table4[[#This Row],[discount_pct]]/100)</f>
        <v>360</v>
      </c>
      <c r="I164">
        <v>15</v>
      </c>
      <c r="J164" s="2">
        <v>306</v>
      </c>
      <c r="K164" t="s">
        <v>320</v>
      </c>
      <c r="L164" s="2">
        <f>Table4[[#This Row],[total_amount]]*Table4[[#This Row],[refund_count]]</f>
        <v>0</v>
      </c>
      <c r="M164">
        <v>0</v>
      </c>
    </row>
    <row r="165" spans="1:13" x14ac:dyDescent="0.35">
      <c r="A165">
        <v>1164</v>
      </c>
      <c r="B165" s="1">
        <v>45784</v>
      </c>
      <c r="C165">
        <v>5</v>
      </c>
      <c r="D165">
        <v>247</v>
      </c>
      <c r="E165">
        <v>7</v>
      </c>
      <c r="F165">
        <v>3</v>
      </c>
      <c r="G165" s="2">
        <f>Table4[[#This Row],[gross_amount]]/Table4[[#This Row],[quantity]]</f>
        <v>100</v>
      </c>
      <c r="H165" s="2">
        <f>Table4[[#This Row],[total_amount]]/(1-Table4[[#This Row],[discount_pct]]/100)</f>
        <v>300</v>
      </c>
      <c r="I165">
        <v>0</v>
      </c>
      <c r="J165" s="2">
        <v>300</v>
      </c>
      <c r="K165" t="s">
        <v>320</v>
      </c>
      <c r="L165" s="2">
        <f>Table4[[#This Row],[total_amount]]*Table4[[#This Row],[refund_count]]</f>
        <v>0</v>
      </c>
      <c r="M165">
        <v>0</v>
      </c>
    </row>
    <row r="166" spans="1:13" x14ac:dyDescent="0.35">
      <c r="A166">
        <v>1165</v>
      </c>
      <c r="B166" s="1">
        <v>45815</v>
      </c>
      <c r="C166">
        <v>7</v>
      </c>
      <c r="D166">
        <v>163</v>
      </c>
      <c r="E166">
        <v>13</v>
      </c>
      <c r="F166">
        <v>3</v>
      </c>
      <c r="G166" s="2">
        <f>Table4[[#This Row],[gross_amount]]/Table4[[#This Row],[quantity]]</f>
        <v>160</v>
      </c>
      <c r="H166" s="2">
        <f>Table4[[#This Row],[total_amount]]/(1-Table4[[#This Row],[discount_pct]]/100)</f>
        <v>480</v>
      </c>
      <c r="I166">
        <v>5</v>
      </c>
      <c r="J166" s="2">
        <v>456</v>
      </c>
      <c r="K166" t="s">
        <v>255</v>
      </c>
      <c r="L166" s="2">
        <f>Table4[[#This Row],[total_amount]]*Table4[[#This Row],[refund_count]]</f>
        <v>0</v>
      </c>
      <c r="M166">
        <v>0</v>
      </c>
    </row>
    <row r="167" spans="1:13" x14ac:dyDescent="0.35">
      <c r="A167">
        <v>1166</v>
      </c>
      <c r="B167" s="1">
        <v>45815</v>
      </c>
      <c r="C167">
        <v>6</v>
      </c>
      <c r="D167">
        <v>137</v>
      </c>
      <c r="E167">
        <v>2</v>
      </c>
      <c r="F167">
        <v>3</v>
      </c>
      <c r="G167" s="2">
        <f>Table4[[#This Row],[gross_amount]]/Table4[[#This Row],[quantity]]</f>
        <v>140</v>
      </c>
      <c r="H167" s="2">
        <f>Table4[[#This Row],[total_amount]]/(1-Table4[[#This Row],[discount_pct]]/100)</f>
        <v>420</v>
      </c>
      <c r="I167">
        <v>5</v>
      </c>
      <c r="J167" s="2">
        <v>399</v>
      </c>
      <c r="K167" t="s">
        <v>322</v>
      </c>
      <c r="L167" s="2">
        <f>Table4[[#This Row],[total_amount]]*Table4[[#This Row],[refund_count]]</f>
        <v>0</v>
      </c>
      <c r="M167">
        <v>0</v>
      </c>
    </row>
    <row r="168" spans="1:13" x14ac:dyDescent="0.35">
      <c r="A168">
        <v>1167</v>
      </c>
      <c r="B168" s="1">
        <v>45815</v>
      </c>
      <c r="C168">
        <v>2</v>
      </c>
      <c r="D168">
        <v>167</v>
      </c>
      <c r="E168">
        <v>5</v>
      </c>
      <c r="F168">
        <v>3</v>
      </c>
      <c r="G168" s="2">
        <f>Table4[[#This Row],[gross_amount]]/Table4[[#This Row],[quantity]]</f>
        <v>160</v>
      </c>
      <c r="H168" s="2">
        <f>Table4[[#This Row],[total_amount]]/(1-Table4[[#This Row],[discount_pct]]/100)</f>
        <v>480</v>
      </c>
      <c r="I168">
        <v>15</v>
      </c>
      <c r="J168" s="2">
        <v>408</v>
      </c>
      <c r="K168" t="s">
        <v>255</v>
      </c>
      <c r="L168" s="2">
        <f>Table4[[#This Row],[total_amount]]*Table4[[#This Row],[refund_count]]</f>
        <v>0</v>
      </c>
      <c r="M168">
        <v>0</v>
      </c>
    </row>
    <row r="169" spans="1:13" x14ac:dyDescent="0.35">
      <c r="A169">
        <v>1168</v>
      </c>
      <c r="B169" s="1">
        <v>45815</v>
      </c>
      <c r="C169">
        <v>3</v>
      </c>
      <c r="D169">
        <v>244</v>
      </c>
      <c r="E169">
        <v>19</v>
      </c>
      <c r="F169">
        <v>2</v>
      </c>
      <c r="G169" s="2">
        <f>Table4[[#This Row],[gross_amount]]/Table4[[#This Row],[quantity]]</f>
        <v>190</v>
      </c>
      <c r="H169" s="2">
        <f>Table4[[#This Row],[total_amount]]/(1-Table4[[#This Row],[discount_pct]]/100)</f>
        <v>380</v>
      </c>
      <c r="I169">
        <v>0</v>
      </c>
      <c r="J169" s="2">
        <v>380</v>
      </c>
      <c r="K169" t="s">
        <v>321</v>
      </c>
      <c r="L169" s="2">
        <f>Table4[[#This Row],[total_amount]]*Table4[[#This Row],[refund_count]]</f>
        <v>0</v>
      </c>
      <c r="M169">
        <v>0</v>
      </c>
    </row>
    <row r="170" spans="1:13" x14ac:dyDescent="0.35">
      <c r="A170">
        <v>1169</v>
      </c>
      <c r="B170" s="1">
        <v>45846</v>
      </c>
      <c r="C170">
        <v>3</v>
      </c>
      <c r="D170">
        <v>24</v>
      </c>
      <c r="E170">
        <v>5</v>
      </c>
      <c r="F170">
        <v>1</v>
      </c>
      <c r="G170" s="2">
        <f>Table4[[#This Row],[gross_amount]]/Table4[[#This Row],[quantity]]</f>
        <v>200</v>
      </c>
      <c r="H170" s="2">
        <f>Table4[[#This Row],[total_amount]]/(1-Table4[[#This Row],[discount_pct]]/100)</f>
        <v>200</v>
      </c>
      <c r="I170">
        <v>10</v>
      </c>
      <c r="J170" s="2">
        <v>180</v>
      </c>
      <c r="K170" t="s">
        <v>322</v>
      </c>
      <c r="L170" s="2">
        <f>Table4[[#This Row],[total_amount]]*Table4[[#This Row],[refund_count]]</f>
        <v>0</v>
      </c>
      <c r="M170">
        <v>0</v>
      </c>
    </row>
    <row r="171" spans="1:13" x14ac:dyDescent="0.35">
      <c r="A171">
        <v>1170</v>
      </c>
      <c r="B171" s="1">
        <v>45846</v>
      </c>
      <c r="C171">
        <v>1</v>
      </c>
      <c r="D171">
        <v>81</v>
      </c>
      <c r="E171">
        <v>10</v>
      </c>
      <c r="F171">
        <v>1</v>
      </c>
      <c r="G171" s="2">
        <f>Table4[[#This Row],[gross_amount]]/Table4[[#This Row],[quantity]]</f>
        <v>150</v>
      </c>
      <c r="H171" s="2">
        <f>Table4[[#This Row],[total_amount]]/(1-Table4[[#This Row],[discount_pct]]/100)</f>
        <v>150</v>
      </c>
      <c r="I171">
        <v>0</v>
      </c>
      <c r="J171" s="2">
        <v>150</v>
      </c>
      <c r="K171" t="s">
        <v>320</v>
      </c>
      <c r="L171" s="2">
        <f>Table4[[#This Row],[total_amount]]*Table4[[#This Row],[refund_count]]</f>
        <v>0</v>
      </c>
      <c r="M171">
        <v>0</v>
      </c>
    </row>
    <row r="172" spans="1:13" x14ac:dyDescent="0.35">
      <c r="A172">
        <v>1171</v>
      </c>
      <c r="B172" s="1">
        <v>45846</v>
      </c>
      <c r="C172">
        <v>2</v>
      </c>
      <c r="D172">
        <v>158</v>
      </c>
      <c r="E172">
        <v>20</v>
      </c>
      <c r="F172">
        <v>1</v>
      </c>
      <c r="G172" s="2">
        <f>Table4[[#This Row],[gross_amount]]/Table4[[#This Row],[quantity]]</f>
        <v>340</v>
      </c>
      <c r="H172" s="2">
        <f>Table4[[#This Row],[total_amount]]/(1-Table4[[#This Row],[discount_pct]]/100)</f>
        <v>340</v>
      </c>
      <c r="I172">
        <v>20</v>
      </c>
      <c r="J172" s="2">
        <v>272</v>
      </c>
      <c r="K172" t="s">
        <v>321</v>
      </c>
      <c r="L172" s="2">
        <f>Table4[[#This Row],[total_amount]]*Table4[[#This Row],[refund_count]]</f>
        <v>0</v>
      </c>
      <c r="M172">
        <v>0</v>
      </c>
    </row>
    <row r="173" spans="1:13" x14ac:dyDescent="0.35">
      <c r="A173">
        <v>1172</v>
      </c>
      <c r="B173" s="1">
        <v>45846</v>
      </c>
      <c r="C173">
        <v>5</v>
      </c>
      <c r="D173">
        <v>129</v>
      </c>
      <c r="E173">
        <v>16</v>
      </c>
      <c r="F173">
        <v>2</v>
      </c>
      <c r="G173" s="2">
        <f>Table4[[#This Row],[gross_amount]]/Table4[[#This Row],[quantity]]</f>
        <v>180</v>
      </c>
      <c r="H173" s="2">
        <f>Table4[[#This Row],[total_amount]]/(1-Table4[[#This Row],[discount_pct]]/100)</f>
        <v>360</v>
      </c>
      <c r="I173">
        <v>15</v>
      </c>
      <c r="J173" s="2">
        <v>306</v>
      </c>
      <c r="K173" t="s">
        <v>255</v>
      </c>
      <c r="L173" s="2">
        <f>Table4[[#This Row],[total_amount]]*Table4[[#This Row],[refund_count]]</f>
        <v>0</v>
      </c>
      <c r="M173">
        <v>0</v>
      </c>
    </row>
    <row r="174" spans="1:13" x14ac:dyDescent="0.35">
      <c r="A174">
        <v>1173</v>
      </c>
      <c r="B174" s="1">
        <v>45877</v>
      </c>
      <c r="C174">
        <v>10</v>
      </c>
      <c r="D174">
        <v>80</v>
      </c>
      <c r="E174">
        <v>14</v>
      </c>
      <c r="F174">
        <v>2</v>
      </c>
      <c r="G174" s="2">
        <f>Table4[[#This Row],[gross_amount]]/Table4[[#This Row],[quantity]]</f>
        <v>130</v>
      </c>
      <c r="H174" s="2">
        <f>Table4[[#This Row],[total_amount]]/(1-Table4[[#This Row],[discount_pct]]/100)</f>
        <v>260</v>
      </c>
      <c r="I174">
        <v>0</v>
      </c>
      <c r="J174" s="2">
        <v>260</v>
      </c>
      <c r="K174" t="s">
        <v>322</v>
      </c>
      <c r="L174" s="2">
        <f>Table4[[#This Row],[total_amount]]*Table4[[#This Row],[refund_count]]</f>
        <v>0</v>
      </c>
      <c r="M174">
        <v>0</v>
      </c>
    </row>
    <row r="175" spans="1:13" x14ac:dyDescent="0.35">
      <c r="A175">
        <v>1174</v>
      </c>
      <c r="B175" s="1">
        <v>45877</v>
      </c>
      <c r="C175">
        <v>9</v>
      </c>
      <c r="D175">
        <v>38</v>
      </c>
      <c r="E175">
        <v>1</v>
      </c>
      <c r="F175">
        <v>2</v>
      </c>
      <c r="G175" s="2">
        <f>Table4[[#This Row],[gross_amount]]/Table4[[#This Row],[quantity]]</f>
        <v>160</v>
      </c>
      <c r="H175" s="2">
        <f>Table4[[#This Row],[total_amount]]/(1-Table4[[#This Row],[discount_pct]]/100)</f>
        <v>320</v>
      </c>
      <c r="I175">
        <v>0</v>
      </c>
      <c r="J175" s="2">
        <v>320</v>
      </c>
      <c r="K175" t="s">
        <v>322</v>
      </c>
      <c r="L175" s="2">
        <f>Table4[[#This Row],[total_amount]]*Table4[[#This Row],[refund_count]]</f>
        <v>0</v>
      </c>
      <c r="M175">
        <v>0</v>
      </c>
    </row>
    <row r="176" spans="1:13" x14ac:dyDescent="0.35">
      <c r="A176">
        <v>1175</v>
      </c>
      <c r="B176" s="1">
        <v>45877</v>
      </c>
      <c r="C176">
        <v>3</v>
      </c>
      <c r="D176">
        <v>207</v>
      </c>
      <c r="E176">
        <v>8</v>
      </c>
      <c r="F176">
        <v>2</v>
      </c>
      <c r="G176" s="2">
        <f>Table4[[#This Row],[gross_amount]]/Table4[[#This Row],[quantity]]</f>
        <v>160</v>
      </c>
      <c r="H176" s="2">
        <f>Table4[[#This Row],[total_amount]]/(1-Table4[[#This Row],[discount_pct]]/100)</f>
        <v>320</v>
      </c>
      <c r="I176">
        <v>0</v>
      </c>
      <c r="J176" s="2">
        <v>320</v>
      </c>
      <c r="K176" t="s">
        <v>322</v>
      </c>
      <c r="L176" s="2">
        <f>Table4[[#This Row],[total_amount]]*Table4[[#This Row],[refund_count]]</f>
        <v>0</v>
      </c>
      <c r="M176">
        <v>0</v>
      </c>
    </row>
    <row r="177" spans="1:13" x14ac:dyDescent="0.35">
      <c r="A177">
        <v>1176</v>
      </c>
      <c r="B177" s="1">
        <v>45877</v>
      </c>
      <c r="C177">
        <v>1</v>
      </c>
      <c r="D177">
        <v>132</v>
      </c>
      <c r="E177">
        <v>2</v>
      </c>
      <c r="F177">
        <v>1</v>
      </c>
      <c r="G177" s="2">
        <f>Table4[[#This Row],[gross_amount]]/Table4[[#This Row],[quantity]]</f>
        <v>260</v>
      </c>
      <c r="H177" s="2">
        <f>Table4[[#This Row],[total_amount]]/(1-Table4[[#This Row],[discount_pct]]/100)</f>
        <v>260</v>
      </c>
      <c r="I177">
        <v>20</v>
      </c>
      <c r="J177" s="2">
        <v>208</v>
      </c>
      <c r="K177" t="s">
        <v>322</v>
      </c>
      <c r="L177" s="2">
        <f>Table4[[#This Row],[total_amount]]*Table4[[#This Row],[refund_count]]</f>
        <v>0</v>
      </c>
      <c r="M177">
        <v>0</v>
      </c>
    </row>
    <row r="178" spans="1:13" x14ac:dyDescent="0.35">
      <c r="A178">
        <v>1177</v>
      </c>
      <c r="B178" s="1">
        <v>45908</v>
      </c>
      <c r="C178">
        <v>4</v>
      </c>
      <c r="D178">
        <v>156</v>
      </c>
      <c r="E178">
        <v>18</v>
      </c>
      <c r="F178">
        <v>3</v>
      </c>
      <c r="G178" s="2">
        <f>Table4[[#This Row],[gross_amount]]/Table4[[#This Row],[quantity]]</f>
        <v>133.33333333333334</v>
      </c>
      <c r="H178" s="2">
        <f>Table4[[#This Row],[total_amount]]/(1-Table4[[#This Row],[discount_pct]]/100)</f>
        <v>400</v>
      </c>
      <c r="I178">
        <v>10</v>
      </c>
      <c r="J178" s="2">
        <v>360</v>
      </c>
      <c r="K178" t="s">
        <v>322</v>
      </c>
      <c r="L178" s="2">
        <f>Table4[[#This Row],[total_amount]]*Table4[[#This Row],[refund_count]]</f>
        <v>0</v>
      </c>
      <c r="M178">
        <v>0</v>
      </c>
    </row>
    <row r="179" spans="1:13" x14ac:dyDescent="0.35">
      <c r="A179">
        <v>1178</v>
      </c>
      <c r="B179" s="1">
        <v>45908</v>
      </c>
      <c r="C179">
        <v>9</v>
      </c>
      <c r="D179">
        <v>236</v>
      </c>
      <c r="E179">
        <v>10</v>
      </c>
      <c r="F179">
        <v>3</v>
      </c>
      <c r="G179" s="2">
        <f>Table4[[#This Row],[gross_amount]]/Table4[[#This Row],[quantity]]</f>
        <v>180</v>
      </c>
      <c r="H179" s="2">
        <f>Table4[[#This Row],[total_amount]]/(1-Table4[[#This Row],[discount_pct]]/100)</f>
        <v>540</v>
      </c>
      <c r="I179">
        <v>20</v>
      </c>
      <c r="J179" s="2">
        <v>432</v>
      </c>
      <c r="K179" t="s">
        <v>322</v>
      </c>
      <c r="L179" s="2">
        <f>Table4[[#This Row],[total_amount]]*Table4[[#This Row],[refund_count]]</f>
        <v>0</v>
      </c>
      <c r="M179">
        <v>0</v>
      </c>
    </row>
    <row r="180" spans="1:13" x14ac:dyDescent="0.35">
      <c r="A180">
        <v>1179</v>
      </c>
      <c r="B180" s="1">
        <v>45908</v>
      </c>
      <c r="C180">
        <v>7</v>
      </c>
      <c r="D180">
        <v>7</v>
      </c>
      <c r="E180">
        <v>10</v>
      </c>
      <c r="F180">
        <v>3</v>
      </c>
      <c r="G180" s="2">
        <f>Table4[[#This Row],[gross_amount]]/Table4[[#This Row],[quantity]]</f>
        <v>150</v>
      </c>
      <c r="H180" s="2">
        <f>Table4[[#This Row],[total_amount]]/(1-Table4[[#This Row],[discount_pct]]/100)</f>
        <v>450</v>
      </c>
      <c r="I180">
        <v>10</v>
      </c>
      <c r="J180" s="2">
        <v>405</v>
      </c>
      <c r="K180" t="s">
        <v>320</v>
      </c>
      <c r="L180" s="2">
        <f>Table4[[#This Row],[total_amount]]*Table4[[#This Row],[refund_count]]</f>
        <v>0</v>
      </c>
      <c r="M180">
        <v>0</v>
      </c>
    </row>
    <row r="181" spans="1:13" x14ac:dyDescent="0.35">
      <c r="A181">
        <v>1180</v>
      </c>
      <c r="B181" s="1">
        <v>45908</v>
      </c>
      <c r="C181">
        <v>10</v>
      </c>
      <c r="D181">
        <v>30</v>
      </c>
      <c r="E181">
        <v>4</v>
      </c>
      <c r="F181">
        <v>3</v>
      </c>
      <c r="G181" s="2">
        <f>Table4[[#This Row],[gross_amount]]/Table4[[#This Row],[quantity]]</f>
        <v>160</v>
      </c>
      <c r="H181" s="2">
        <f>Table4[[#This Row],[total_amount]]/(1-Table4[[#This Row],[discount_pct]]/100)</f>
        <v>480</v>
      </c>
      <c r="I181">
        <v>0</v>
      </c>
      <c r="J181" s="2">
        <v>480</v>
      </c>
      <c r="K181" t="s">
        <v>320</v>
      </c>
      <c r="L181" s="2">
        <f>Table4[[#This Row],[total_amount]]*Table4[[#This Row],[refund_count]]</f>
        <v>0</v>
      </c>
      <c r="M181">
        <v>0</v>
      </c>
    </row>
    <row r="182" spans="1:13" x14ac:dyDescent="0.35">
      <c r="A182">
        <v>1181</v>
      </c>
      <c r="B182" s="1">
        <v>45938</v>
      </c>
      <c r="C182">
        <v>9</v>
      </c>
      <c r="D182">
        <v>35</v>
      </c>
      <c r="E182">
        <v>1</v>
      </c>
      <c r="F182">
        <v>1</v>
      </c>
      <c r="G182" s="2">
        <f>Table4[[#This Row],[gross_amount]]/Table4[[#This Row],[quantity]]</f>
        <v>180</v>
      </c>
      <c r="H182" s="2">
        <f>Table4[[#This Row],[total_amount]]/(1-Table4[[#This Row],[discount_pct]]/100)</f>
        <v>180</v>
      </c>
      <c r="I182">
        <v>5</v>
      </c>
      <c r="J182" s="2">
        <v>171</v>
      </c>
      <c r="K182" t="s">
        <v>322</v>
      </c>
      <c r="L182" s="2">
        <f>Table4[[#This Row],[total_amount]]*Table4[[#This Row],[refund_count]]</f>
        <v>0</v>
      </c>
      <c r="M182">
        <v>0</v>
      </c>
    </row>
    <row r="183" spans="1:13" x14ac:dyDescent="0.35">
      <c r="A183">
        <v>1182</v>
      </c>
      <c r="B183" s="1">
        <v>45938</v>
      </c>
      <c r="C183">
        <v>5</v>
      </c>
      <c r="D183">
        <v>56</v>
      </c>
      <c r="E183">
        <v>19</v>
      </c>
      <c r="F183">
        <v>3</v>
      </c>
      <c r="G183" s="2">
        <f>Table4[[#This Row],[gross_amount]]/Table4[[#This Row],[quantity]]</f>
        <v>160</v>
      </c>
      <c r="H183" s="2">
        <f>Table4[[#This Row],[total_amount]]/(1-Table4[[#This Row],[discount_pct]]/100)</f>
        <v>480</v>
      </c>
      <c r="I183">
        <v>20</v>
      </c>
      <c r="J183" s="2">
        <v>384</v>
      </c>
      <c r="K183" t="s">
        <v>322</v>
      </c>
      <c r="L183" s="2">
        <f>Table4[[#This Row],[total_amount]]*Table4[[#This Row],[refund_count]]</f>
        <v>0</v>
      </c>
      <c r="M183">
        <v>0</v>
      </c>
    </row>
    <row r="184" spans="1:13" x14ac:dyDescent="0.35">
      <c r="A184">
        <v>1183</v>
      </c>
      <c r="B184" s="1">
        <v>45938</v>
      </c>
      <c r="C184">
        <v>9</v>
      </c>
      <c r="D184">
        <v>10</v>
      </c>
      <c r="E184">
        <v>11</v>
      </c>
      <c r="F184">
        <v>1</v>
      </c>
      <c r="G184" s="2">
        <f>Table4[[#This Row],[gross_amount]]/Table4[[#This Row],[quantity]]</f>
        <v>160</v>
      </c>
      <c r="H184" s="2">
        <f>Table4[[#This Row],[total_amount]]/(1-Table4[[#This Row],[discount_pct]]/100)</f>
        <v>160</v>
      </c>
      <c r="I184">
        <v>0</v>
      </c>
      <c r="J184" s="2">
        <v>160</v>
      </c>
      <c r="K184" t="s">
        <v>322</v>
      </c>
      <c r="L184" s="2">
        <f>Table4[[#This Row],[total_amount]]*Table4[[#This Row],[refund_count]]</f>
        <v>0</v>
      </c>
      <c r="M184">
        <v>0</v>
      </c>
    </row>
    <row r="185" spans="1:13" x14ac:dyDescent="0.35">
      <c r="A185">
        <v>1184</v>
      </c>
      <c r="B185" s="1">
        <v>45938</v>
      </c>
      <c r="C185">
        <v>10</v>
      </c>
      <c r="D185">
        <v>211</v>
      </c>
      <c r="E185">
        <v>7</v>
      </c>
      <c r="F185">
        <v>1</v>
      </c>
      <c r="G185" s="2">
        <f>Table4[[#This Row],[gross_amount]]/Table4[[#This Row],[quantity]]</f>
        <v>240</v>
      </c>
      <c r="H185" s="2">
        <f>Table4[[#This Row],[total_amount]]/(1-Table4[[#This Row],[discount_pct]]/100)</f>
        <v>240</v>
      </c>
      <c r="I185">
        <v>15</v>
      </c>
      <c r="J185" s="2">
        <v>204</v>
      </c>
      <c r="K185" t="s">
        <v>255</v>
      </c>
      <c r="L185" s="2">
        <f>Table4[[#This Row],[total_amount]]*Table4[[#This Row],[refund_count]]</f>
        <v>0</v>
      </c>
      <c r="M185">
        <v>0</v>
      </c>
    </row>
    <row r="186" spans="1:13" x14ac:dyDescent="0.35">
      <c r="A186">
        <v>1185</v>
      </c>
      <c r="B186" s="1">
        <v>45969</v>
      </c>
      <c r="C186">
        <v>3</v>
      </c>
      <c r="D186">
        <v>145</v>
      </c>
      <c r="E186">
        <v>1</v>
      </c>
      <c r="F186">
        <v>1</v>
      </c>
      <c r="G186" s="2">
        <f>Table4[[#This Row],[gross_amount]]/Table4[[#This Row],[quantity]]</f>
        <v>270</v>
      </c>
      <c r="H186" s="2">
        <f>Table4[[#This Row],[total_amount]]/(1-Table4[[#This Row],[discount_pct]]/100)</f>
        <v>270</v>
      </c>
      <c r="I186">
        <v>20</v>
      </c>
      <c r="J186" s="2">
        <v>216</v>
      </c>
      <c r="K186" t="s">
        <v>322</v>
      </c>
      <c r="L186" s="2">
        <f>Table4[[#This Row],[total_amount]]*Table4[[#This Row],[refund_count]]</f>
        <v>0</v>
      </c>
      <c r="M186">
        <v>0</v>
      </c>
    </row>
    <row r="187" spans="1:13" x14ac:dyDescent="0.35">
      <c r="A187">
        <v>1186</v>
      </c>
      <c r="B187" s="1">
        <v>45969</v>
      </c>
      <c r="C187">
        <v>3</v>
      </c>
      <c r="D187">
        <v>79</v>
      </c>
      <c r="E187">
        <v>16</v>
      </c>
      <c r="F187">
        <v>2</v>
      </c>
      <c r="G187" s="2">
        <f>Table4[[#This Row],[gross_amount]]/Table4[[#This Row],[quantity]]</f>
        <v>180</v>
      </c>
      <c r="H187" s="2">
        <f>Table4[[#This Row],[total_amount]]/(1-Table4[[#This Row],[discount_pct]]/100)</f>
        <v>360</v>
      </c>
      <c r="I187">
        <v>15</v>
      </c>
      <c r="J187" s="2">
        <v>306</v>
      </c>
      <c r="K187" t="s">
        <v>321</v>
      </c>
      <c r="L187" s="2">
        <f>Table4[[#This Row],[total_amount]]*Table4[[#This Row],[refund_count]]</f>
        <v>0</v>
      </c>
      <c r="M187">
        <v>0</v>
      </c>
    </row>
    <row r="188" spans="1:13" x14ac:dyDescent="0.35">
      <c r="A188">
        <v>1187</v>
      </c>
      <c r="B188" s="1">
        <v>45969</v>
      </c>
      <c r="C188">
        <v>8</v>
      </c>
      <c r="D188">
        <v>60</v>
      </c>
      <c r="E188">
        <v>20</v>
      </c>
      <c r="F188">
        <v>1</v>
      </c>
      <c r="G188" s="2">
        <f>Table4[[#This Row],[gross_amount]]/Table4[[#This Row],[quantity]]</f>
        <v>340</v>
      </c>
      <c r="H188" s="2">
        <f>Table4[[#This Row],[total_amount]]/(1-Table4[[#This Row],[discount_pct]]/100)</f>
        <v>340</v>
      </c>
      <c r="I188">
        <v>20</v>
      </c>
      <c r="J188" s="2">
        <v>272</v>
      </c>
      <c r="K188" t="s">
        <v>320</v>
      </c>
      <c r="L188" s="2">
        <f>Table4[[#This Row],[total_amount]]*Table4[[#This Row],[refund_count]]</f>
        <v>0</v>
      </c>
      <c r="M188">
        <v>0</v>
      </c>
    </row>
    <row r="189" spans="1:13" x14ac:dyDescent="0.35">
      <c r="A189">
        <v>1188</v>
      </c>
      <c r="B189" s="1">
        <v>45969</v>
      </c>
      <c r="C189">
        <v>2</v>
      </c>
      <c r="D189">
        <v>231</v>
      </c>
      <c r="E189">
        <v>8</v>
      </c>
      <c r="F189">
        <v>3</v>
      </c>
      <c r="G189" s="2">
        <f>Table4[[#This Row],[gross_amount]]/Table4[[#This Row],[quantity]]</f>
        <v>180</v>
      </c>
      <c r="H189" s="2">
        <f>Table4[[#This Row],[total_amount]]/(1-Table4[[#This Row],[discount_pct]]/100)</f>
        <v>540</v>
      </c>
      <c r="I189">
        <v>0</v>
      </c>
      <c r="J189" s="2">
        <v>540</v>
      </c>
      <c r="K189" t="s">
        <v>322</v>
      </c>
      <c r="L189" s="2">
        <f>Table4[[#This Row],[total_amount]]*Table4[[#This Row],[refund_count]]</f>
        <v>0</v>
      </c>
      <c r="M189">
        <v>0</v>
      </c>
    </row>
    <row r="190" spans="1:13" x14ac:dyDescent="0.35">
      <c r="A190">
        <v>1189</v>
      </c>
      <c r="B190" s="1">
        <v>45999</v>
      </c>
      <c r="C190">
        <v>6</v>
      </c>
      <c r="D190">
        <v>202</v>
      </c>
      <c r="E190">
        <v>15</v>
      </c>
      <c r="F190">
        <v>3</v>
      </c>
      <c r="G190" s="2">
        <f>Table4[[#This Row],[gross_amount]]/Table4[[#This Row],[quantity]]</f>
        <v>180</v>
      </c>
      <c r="H190" s="2">
        <f>Table4[[#This Row],[total_amount]]/(1-Table4[[#This Row],[discount_pct]]/100)</f>
        <v>540</v>
      </c>
      <c r="I190">
        <v>0</v>
      </c>
      <c r="J190" s="2">
        <v>540</v>
      </c>
      <c r="K190" t="s">
        <v>255</v>
      </c>
      <c r="L190" s="2">
        <f>Table4[[#This Row],[total_amount]]*Table4[[#This Row],[refund_count]]</f>
        <v>0</v>
      </c>
      <c r="M190">
        <v>0</v>
      </c>
    </row>
    <row r="191" spans="1:13" x14ac:dyDescent="0.35">
      <c r="A191">
        <v>1190</v>
      </c>
      <c r="B191" s="1">
        <v>45999</v>
      </c>
      <c r="C191">
        <v>10</v>
      </c>
      <c r="D191">
        <v>162</v>
      </c>
      <c r="E191">
        <v>10</v>
      </c>
      <c r="F191">
        <v>3</v>
      </c>
      <c r="G191" s="2">
        <f>Table4[[#This Row],[gross_amount]]/Table4[[#This Row],[quantity]]</f>
        <v>150</v>
      </c>
      <c r="H191" s="2">
        <f>Table4[[#This Row],[total_amount]]/(1-Table4[[#This Row],[discount_pct]]/100)</f>
        <v>450</v>
      </c>
      <c r="I191">
        <v>0</v>
      </c>
      <c r="J191" s="2">
        <v>450</v>
      </c>
      <c r="K191" t="s">
        <v>322</v>
      </c>
      <c r="L191" s="2">
        <f>Table4[[#This Row],[total_amount]]*Table4[[#This Row],[refund_count]]</f>
        <v>0</v>
      </c>
      <c r="M191">
        <v>0</v>
      </c>
    </row>
    <row r="192" spans="1:13" x14ac:dyDescent="0.35">
      <c r="A192">
        <v>1191</v>
      </c>
      <c r="B192" s="1">
        <v>45999</v>
      </c>
      <c r="C192">
        <v>10</v>
      </c>
      <c r="D192">
        <v>178</v>
      </c>
      <c r="E192">
        <v>4</v>
      </c>
      <c r="F192">
        <v>1</v>
      </c>
      <c r="G192" s="2">
        <f>Table4[[#This Row],[gross_amount]]/Table4[[#This Row],[quantity]]</f>
        <v>180</v>
      </c>
      <c r="H192" s="2">
        <f>Table4[[#This Row],[total_amount]]/(1-Table4[[#This Row],[discount_pct]]/100)</f>
        <v>180</v>
      </c>
      <c r="I192">
        <v>5</v>
      </c>
      <c r="J192" s="2">
        <v>171</v>
      </c>
      <c r="K192" t="s">
        <v>255</v>
      </c>
      <c r="L192" s="2">
        <f>Table4[[#This Row],[total_amount]]*Table4[[#This Row],[refund_count]]</f>
        <v>0</v>
      </c>
      <c r="M192">
        <v>0</v>
      </c>
    </row>
    <row r="193" spans="1:13" x14ac:dyDescent="0.35">
      <c r="A193">
        <v>1192</v>
      </c>
      <c r="B193" s="1">
        <v>45999</v>
      </c>
      <c r="C193">
        <v>8</v>
      </c>
      <c r="D193">
        <v>171</v>
      </c>
      <c r="E193">
        <v>1</v>
      </c>
      <c r="F193">
        <v>1</v>
      </c>
      <c r="G193" s="2">
        <f>Table4[[#This Row],[gross_amount]]/Table4[[#This Row],[quantity]]</f>
        <v>180</v>
      </c>
      <c r="H193" s="2">
        <f>Table4[[#This Row],[total_amount]]/(1-Table4[[#This Row],[discount_pct]]/100)</f>
        <v>180</v>
      </c>
      <c r="I193">
        <v>0</v>
      </c>
      <c r="J193" s="2">
        <v>180</v>
      </c>
      <c r="K193" t="s">
        <v>320</v>
      </c>
      <c r="L193" s="2">
        <f>Table4[[#This Row],[total_amount]]*Table4[[#This Row],[refund_count]]</f>
        <v>0</v>
      </c>
      <c r="M193">
        <v>0</v>
      </c>
    </row>
    <row r="194" spans="1:13" x14ac:dyDescent="0.35">
      <c r="A194">
        <v>1193</v>
      </c>
      <c r="B194" s="1">
        <v>45666</v>
      </c>
      <c r="C194">
        <v>8</v>
      </c>
      <c r="D194">
        <v>212</v>
      </c>
      <c r="E194">
        <v>8</v>
      </c>
      <c r="F194">
        <v>1</v>
      </c>
      <c r="G194" s="2">
        <f>Table4[[#This Row],[gross_amount]]/Table4[[#This Row],[quantity]]</f>
        <v>240</v>
      </c>
      <c r="H194" s="2">
        <f>Table4[[#This Row],[total_amount]]/(1-Table4[[#This Row],[discount_pct]]/100)</f>
        <v>240</v>
      </c>
      <c r="I194">
        <v>15</v>
      </c>
      <c r="J194" s="2">
        <v>204</v>
      </c>
      <c r="K194" t="s">
        <v>321</v>
      </c>
      <c r="L194" s="2">
        <f>Table4[[#This Row],[total_amount]]*Table4[[#This Row],[refund_count]]</f>
        <v>0</v>
      </c>
      <c r="M194">
        <v>0</v>
      </c>
    </row>
    <row r="195" spans="1:13" x14ac:dyDescent="0.35">
      <c r="A195">
        <v>1194</v>
      </c>
      <c r="B195" s="1">
        <v>45666</v>
      </c>
      <c r="C195">
        <v>9</v>
      </c>
      <c r="D195">
        <v>154</v>
      </c>
      <c r="E195">
        <v>3</v>
      </c>
      <c r="F195">
        <v>3</v>
      </c>
      <c r="G195" s="2">
        <f>Table4[[#This Row],[gross_amount]]/Table4[[#This Row],[quantity]]</f>
        <v>180</v>
      </c>
      <c r="H195" s="2">
        <f>Table4[[#This Row],[total_amount]]/(1-Table4[[#This Row],[discount_pct]]/100)</f>
        <v>540</v>
      </c>
      <c r="I195">
        <v>0</v>
      </c>
      <c r="J195" s="2">
        <v>540</v>
      </c>
      <c r="K195" t="s">
        <v>322</v>
      </c>
      <c r="L195" s="2">
        <f>Table4[[#This Row],[total_amount]]*Table4[[#This Row],[refund_count]]</f>
        <v>0</v>
      </c>
      <c r="M195">
        <v>0</v>
      </c>
    </row>
    <row r="196" spans="1:13" x14ac:dyDescent="0.35">
      <c r="A196">
        <v>1195</v>
      </c>
      <c r="B196" s="1">
        <v>45666</v>
      </c>
      <c r="C196">
        <v>5</v>
      </c>
      <c r="D196">
        <v>125</v>
      </c>
      <c r="E196">
        <v>13</v>
      </c>
      <c r="F196">
        <v>3</v>
      </c>
      <c r="G196" s="2">
        <f>Table4[[#This Row],[gross_amount]]/Table4[[#This Row],[quantity]]</f>
        <v>180</v>
      </c>
      <c r="H196" s="2">
        <f>Table4[[#This Row],[total_amount]]/(1-Table4[[#This Row],[discount_pct]]/100)</f>
        <v>540</v>
      </c>
      <c r="I196">
        <v>0</v>
      </c>
      <c r="J196" s="2">
        <v>540</v>
      </c>
      <c r="K196" t="s">
        <v>255</v>
      </c>
      <c r="L196" s="2">
        <f>Table4[[#This Row],[total_amount]]*Table4[[#This Row],[refund_count]]</f>
        <v>0</v>
      </c>
      <c r="M196">
        <v>0</v>
      </c>
    </row>
    <row r="197" spans="1:13" x14ac:dyDescent="0.35">
      <c r="A197">
        <v>1196</v>
      </c>
      <c r="B197" s="1">
        <v>45666</v>
      </c>
      <c r="C197">
        <v>6</v>
      </c>
      <c r="D197">
        <v>96</v>
      </c>
      <c r="E197">
        <v>17</v>
      </c>
      <c r="F197">
        <v>1</v>
      </c>
      <c r="G197" s="2">
        <f>Table4[[#This Row],[gross_amount]]/Table4[[#This Row],[quantity]]</f>
        <v>180</v>
      </c>
      <c r="H197" s="2">
        <f>Table4[[#This Row],[total_amount]]/(1-Table4[[#This Row],[discount_pct]]/100)</f>
        <v>180</v>
      </c>
      <c r="I197">
        <v>5</v>
      </c>
      <c r="J197" s="2">
        <v>171</v>
      </c>
      <c r="K197" t="s">
        <v>322</v>
      </c>
      <c r="L197" s="2">
        <f>Table4[[#This Row],[total_amount]]*Table4[[#This Row],[refund_count]]</f>
        <v>0</v>
      </c>
      <c r="M197">
        <v>0</v>
      </c>
    </row>
    <row r="198" spans="1:13" x14ac:dyDescent="0.35">
      <c r="A198">
        <v>1197</v>
      </c>
      <c r="B198" s="1">
        <v>45697</v>
      </c>
      <c r="C198">
        <v>9</v>
      </c>
      <c r="D198">
        <v>188</v>
      </c>
      <c r="E198">
        <v>17</v>
      </c>
      <c r="F198">
        <v>1</v>
      </c>
      <c r="G198" s="2">
        <f>Table4[[#This Row],[gross_amount]]/Table4[[#This Row],[quantity]]</f>
        <v>150</v>
      </c>
      <c r="H198" s="2">
        <f>Table4[[#This Row],[total_amount]]/(1-Table4[[#This Row],[discount_pct]]/100)</f>
        <v>150</v>
      </c>
      <c r="I198">
        <v>0</v>
      </c>
      <c r="J198" s="2">
        <v>150</v>
      </c>
      <c r="K198" t="s">
        <v>321</v>
      </c>
      <c r="L198" s="2">
        <f>Table4[[#This Row],[total_amount]]*Table4[[#This Row],[refund_count]]</f>
        <v>0</v>
      </c>
      <c r="M198">
        <v>0</v>
      </c>
    </row>
    <row r="199" spans="1:13" x14ac:dyDescent="0.35">
      <c r="A199">
        <v>1198</v>
      </c>
      <c r="B199" s="1">
        <v>45697</v>
      </c>
      <c r="C199">
        <v>8</v>
      </c>
      <c r="D199">
        <v>158</v>
      </c>
      <c r="E199">
        <v>8</v>
      </c>
      <c r="F199">
        <v>3</v>
      </c>
      <c r="G199" s="2">
        <f>Table4[[#This Row],[gross_amount]]/Table4[[#This Row],[quantity]]</f>
        <v>160</v>
      </c>
      <c r="H199" s="2">
        <f>Table4[[#This Row],[total_amount]]/(1-Table4[[#This Row],[discount_pct]]/100)</f>
        <v>480</v>
      </c>
      <c r="I199">
        <v>5</v>
      </c>
      <c r="J199" s="2">
        <v>456</v>
      </c>
      <c r="K199" t="s">
        <v>255</v>
      </c>
      <c r="L199" s="2">
        <f>Table4[[#This Row],[total_amount]]*Table4[[#This Row],[refund_count]]</f>
        <v>0</v>
      </c>
      <c r="M199">
        <v>0</v>
      </c>
    </row>
    <row r="200" spans="1:13" x14ac:dyDescent="0.35">
      <c r="A200">
        <v>1199</v>
      </c>
      <c r="B200" s="1">
        <v>45697</v>
      </c>
      <c r="C200">
        <v>9</v>
      </c>
      <c r="D200">
        <v>50</v>
      </c>
      <c r="E200">
        <v>7</v>
      </c>
      <c r="F200">
        <v>1</v>
      </c>
      <c r="G200" s="2">
        <f>Table4[[#This Row],[gross_amount]]/Table4[[#This Row],[quantity]]</f>
        <v>170</v>
      </c>
      <c r="H200" s="2">
        <f>Table4[[#This Row],[total_amount]]/(1-Table4[[#This Row],[discount_pct]]/100)</f>
        <v>170</v>
      </c>
      <c r="I200">
        <v>0</v>
      </c>
      <c r="J200" s="2">
        <v>170</v>
      </c>
      <c r="K200" t="s">
        <v>322</v>
      </c>
      <c r="L200" s="2">
        <f>Table4[[#This Row],[total_amount]]*Table4[[#This Row],[refund_count]]</f>
        <v>0</v>
      </c>
      <c r="M200">
        <v>0</v>
      </c>
    </row>
    <row r="201" spans="1:13" x14ac:dyDescent="0.35">
      <c r="A201">
        <v>1200</v>
      </c>
      <c r="B201" s="1">
        <v>45697</v>
      </c>
      <c r="C201">
        <v>7</v>
      </c>
      <c r="D201">
        <v>87</v>
      </c>
      <c r="E201">
        <v>1</v>
      </c>
      <c r="F201">
        <v>2</v>
      </c>
      <c r="G201" s="2">
        <f>Table4[[#This Row],[gross_amount]]/Table4[[#This Row],[quantity]]</f>
        <v>135</v>
      </c>
      <c r="H201" s="2">
        <f>Table4[[#This Row],[total_amount]]/(1-Table4[[#This Row],[discount_pct]]/100)</f>
        <v>270</v>
      </c>
      <c r="I201">
        <v>20</v>
      </c>
      <c r="J201" s="2">
        <v>216</v>
      </c>
      <c r="K201" t="s">
        <v>321</v>
      </c>
      <c r="L201" s="2">
        <f>Table4[[#This Row],[total_amount]]*Table4[[#This Row],[refund_count]]</f>
        <v>0</v>
      </c>
      <c r="M201">
        <v>0</v>
      </c>
    </row>
    <row r="202" spans="1:13" x14ac:dyDescent="0.35">
      <c r="A202">
        <v>1201</v>
      </c>
      <c r="B202" s="1">
        <v>45725</v>
      </c>
      <c r="C202">
        <v>7</v>
      </c>
      <c r="D202">
        <v>171</v>
      </c>
      <c r="E202">
        <v>2</v>
      </c>
      <c r="F202">
        <v>2</v>
      </c>
      <c r="G202" s="2">
        <f>Table4[[#This Row],[gross_amount]]/Table4[[#This Row],[quantity]]</f>
        <v>130</v>
      </c>
      <c r="H202" s="2">
        <f>Table4[[#This Row],[total_amount]]/(1-Table4[[#This Row],[discount_pct]]/100)</f>
        <v>260</v>
      </c>
      <c r="I202">
        <v>20</v>
      </c>
      <c r="J202" s="2">
        <v>208</v>
      </c>
      <c r="K202" t="s">
        <v>320</v>
      </c>
      <c r="L202" s="2">
        <f>Table4[[#This Row],[total_amount]]*Table4[[#This Row],[refund_count]]</f>
        <v>0</v>
      </c>
      <c r="M202">
        <v>0</v>
      </c>
    </row>
    <row r="203" spans="1:13" x14ac:dyDescent="0.35">
      <c r="A203">
        <v>1202</v>
      </c>
      <c r="B203" s="1">
        <v>45725</v>
      </c>
      <c r="C203">
        <v>9</v>
      </c>
      <c r="D203">
        <v>205</v>
      </c>
      <c r="E203">
        <v>7</v>
      </c>
      <c r="F203">
        <v>3</v>
      </c>
      <c r="G203" s="2">
        <f>Table4[[#This Row],[gross_amount]]/Table4[[#This Row],[quantity]]</f>
        <v>113.33333333333333</v>
      </c>
      <c r="H203" s="2">
        <f>Table4[[#This Row],[total_amount]]/(1-Table4[[#This Row],[discount_pct]]/100)</f>
        <v>340</v>
      </c>
      <c r="I203">
        <v>10</v>
      </c>
      <c r="J203" s="2">
        <v>306</v>
      </c>
      <c r="K203" t="s">
        <v>322</v>
      </c>
      <c r="L203" s="2">
        <f>Table4[[#This Row],[total_amount]]*Table4[[#This Row],[refund_count]]</f>
        <v>0</v>
      </c>
      <c r="M203">
        <v>0</v>
      </c>
    </row>
    <row r="204" spans="1:13" x14ac:dyDescent="0.35">
      <c r="A204">
        <v>1203</v>
      </c>
      <c r="B204" s="1">
        <v>45725</v>
      </c>
      <c r="C204">
        <v>9</v>
      </c>
      <c r="D204">
        <v>165</v>
      </c>
      <c r="E204">
        <v>13</v>
      </c>
      <c r="F204">
        <v>1</v>
      </c>
      <c r="G204" s="2">
        <f>Table4[[#This Row],[gross_amount]]/Table4[[#This Row],[quantity]]</f>
        <v>200</v>
      </c>
      <c r="H204" s="2">
        <f>Table4[[#This Row],[total_amount]]/(1-Table4[[#This Row],[discount_pct]]/100)</f>
        <v>200</v>
      </c>
      <c r="I204">
        <v>0</v>
      </c>
      <c r="J204" s="2">
        <v>200</v>
      </c>
      <c r="K204" t="s">
        <v>322</v>
      </c>
      <c r="L204" s="2">
        <f>Table4[[#This Row],[total_amount]]*Table4[[#This Row],[refund_count]]</f>
        <v>0</v>
      </c>
      <c r="M204">
        <v>0</v>
      </c>
    </row>
    <row r="205" spans="1:13" x14ac:dyDescent="0.35">
      <c r="A205">
        <v>1204</v>
      </c>
      <c r="B205" s="1">
        <v>45725</v>
      </c>
      <c r="C205">
        <v>7</v>
      </c>
      <c r="D205">
        <v>63</v>
      </c>
      <c r="E205">
        <v>10</v>
      </c>
      <c r="F205">
        <v>3</v>
      </c>
      <c r="G205" s="2">
        <f>Table4[[#This Row],[gross_amount]]/Table4[[#This Row],[quantity]]</f>
        <v>160</v>
      </c>
      <c r="H205" s="2">
        <f>Table4[[#This Row],[total_amount]]/(1-Table4[[#This Row],[discount_pct]]/100)</f>
        <v>480</v>
      </c>
      <c r="I205">
        <v>5</v>
      </c>
      <c r="J205" s="2">
        <v>456</v>
      </c>
      <c r="K205" t="s">
        <v>321</v>
      </c>
      <c r="L205" s="2">
        <f>Table4[[#This Row],[total_amount]]*Table4[[#This Row],[refund_count]]</f>
        <v>0</v>
      </c>
      <c r="M205">
        <v>0</v>
      </c>
    </row>
    <row r="206" spans="1:13" x14ac:dyDescent="0.35">
      <c r="A206">
        <v>1205</v>
      </c>
      <c r="B206" s="1">
        <v>45756</v>
      </c>
      <c r="C206">
        <v>8</v>
      </c>
      <c r="D206">
        <v>248</v>
      </c>
      <c r="E206">
        <v>10</v>
      </c>
      <c r="F206">
        <v>3</v>
      </c>
      <c r="G206" s="2">
        <f>Table4[[#This Row],[gross_amount]]/Table4[[#This Row],[quantity]]</f>
        <v>160</v>
      </c>
      <c r="H206" s="2">
        <f>Table4[[#This Row],[total_amount]]/(1-Table4[[#This Row],[discount_pct]]/100)</f>
        <v>480</v>
      </c>
      <c r="I206">
        <v>5</v>
      </c>
      <c r="J206" s="2">
        <v>456</v>
      </c>
      <c r="K206" t="s">
        <v>320</v>
      </c>
      <c r="L206" s="2">
        <f>Table4[[#This Row],[total_amount]]*Table4[[#This Row],[refund_count]]</f>
        <v>0</v>
      </c>
      <c r="M206">
        <v>0</v>
      </c>
    </row>
    <row r="207" spans="1:13" x14ac:dyDescent="0.35">
      <c r="A207">
        <v>1206</v>
      </c>
      <c r="B207" s="1">
        <v>45756</v>
      </c>
      <c r="C207">
        <v>1</v>
      </c>
      <c r="D207">
        <v>118</v>
      </c>
      <c r="E207">
        <v>16</v>
      </c>
      <c r="F207">
        <v>3</v>
      </c>
      <c r="G207" s="2">
        <f>Table4[[#This Row],[gross_amount]]/Table4[[#This Row],[quantity]]</f>
        <v>140</v>
      </c>
      <c r="H207" s="2">
        <f>Table4[[#This Row],[total_amount]]/(1-Table4[[#This Row],[discount_pct]]/100)</f>
        <v>420</v>
      </c>
      <c r="I207">
        <v>20</v>
      </c>
      <c r="J207" s="2">
        <v>336</v>
      </c>
      <c r="K207" t="s">
        <v>322</v>
      </c>
      <c r="L207" s="2">
        <f>Table4[[#This Row],[total_amount]]*Table4[[#This Row],[refund_count]]</f>
        <v>0</v>
      </c>
      <c r="M207">
        <v>0</v>
      </c>
    </row>
    <row r="208" spans="1:13" x14ac:dyDescent="0.35">
      <c r="A208">
        <v>1207</v>
      </c>
      <c r="B208" s="1">
        <v>45756</v>
      </c>
      <c r="C208">
        <v>5</v>
      </c>
      <c r="D208">
        <v>76</v>
      </c>
      <c r="E208">
        <v>14</v>
      </c>
      <c r="F208">
        <v>1</v>
      </c>
      <c r="G208" s="2">
        <f>Table4[[#This Row],[gross_amount]]/Table4[[#This Row],[quantity]]</f>
        <v>200</v>
      </c>
      <c r="H208" s="2">
        <f>Table4[[#This Row],[total_amount]]/(1-Table4[[#This Row],[discount_pct]]/100)</f>
        <v>200</v>
      </c>
      <c r="I208">
        <v>0</v>
      </c>
      <c r="J208" s="2">
        <v>200</v>
      </c>
      <c r="K208" t="s">
        <v>321</v>
      </c>
      <c r="L208" s="2">
        <f>Table4[[#This Row],[total_amount]]*Table4[[#This Row],[refund_count]]</f>
        <v>0</v>
      </c>
      <c r="M208">
        <v>0</v>
      </c>
    </row>
    <row r="209" spans="1:13" x14ac:dyDescent="0.35">
      <c r="A209">
        <v>1208</v>
      </c>
      <c r="B209" s="1">
        <v>45756</v>
      </c>
      <c r="C209">
        <v>10</v>
      </c>
      <c r="D209">
        <v>32</v>
      </c>
      <c r="E209">
        <v>9</v>
      </c>
      <c r="F209">
        <v>3</v>
      </c>
      <c r="G209" s="2">
        <f>Table4[[#This Row],[gross_amount]]/Table4[[#This Row],[quantity]]</f>
        <v>200</v>
      </c>
      <c r="H209" s="2">
        <f>Table4[[#This Row],[total_amount]]/(1-Table4[[#This Row],[discount_pct]]/100)</f>
        <v>600</v>
      </c>
      <c r="I209">
        <v>0</v>
      </c>
      <c r="J209" s="2">
        <v>600</v>
      </c>
      <c r="K209" t="s">
        <v>255</v>
      </c>
      <c r="L209" s="2">
        <f>Table4[[#This Row],[total_amount]]*Table4[[#This Row],[refund_count]]</f>
        <v>0</v>
      </c>
      <c r="M209">
        <v>0</v>
      </c>
    </row>
    <row r="210" spans="1:13" x14ac:dyDescent="0.35">
      <c r="A210">
        <v>1209</v>
      </c>
      <c r="B210" s="1">
        <v>45786</v>
      </c>
      <c r="C210">
        <v>5</v>
      </c>
      <c r="D210">
        <v>11</v>
      </c>
      <c r="E210">
        <v>13</v>
      </c>
      <c r="F210">
        <v>1</v>
      </c>
      <c r="G210" s="2">
        <f>Table4[[#This Row],[gross_amount]]/Table4[[#This Row],[quantity]]</f>
        <v>240</v>
      </c>
      <c r="H210" s="2">
        <f>Table4[[#This Row],[total_amount]]/(1-Table4[[#This Row],[discount_pct]]/100)</f>
        <v>240</v>
      </c>
      <c r="I210">
        <v>0</v>
      </c>
      <c r="J210" s="2">
        <v>240</v>
      </c>
      <c r="K210" t="s">
        <v>255</v>
      </c>
      <c r="L210" s="2">
        <f>Table4[[#This Row],[total_amount]]*Table4[[#This Row],[refund_count]]</f>
        <v>0</v>
      </c>
      <c r="M210">
        <v>0</v>
      </c>
    </row>
    <row r="211" spans="1:13" x14ac:dyDescent="0.35">
      <c r="A211">
        <v>1210</v>
      </c>
      <c r="B211" s="1">
        <v>45786</v>
      </c>
      <c r="C211">
        <v>7</v>
      </c>
      <c r="D211">
        <v>204</v>
      </c>
      <c r="E211">
        <v>8</v>
      </c>
      <c r="F211">
        <v>1</v>
      </c>
      <c r="G211" s="2">
        <f>Table4[[#This Row],[gross_amount]]/Table4[[#This Row],[quantity]]</f>
        <v>200</v>
      </c>
      <c r="H211" s="2">
        <f>Table4[[#This Row],[total_amount]]/(1-Table4[[#This Row],[discount_pct]]/100)</f>
        <v>200</v>
      </c>
      <c r="I211">
        <v>10</v>
      </c>
      <c r="J211" s="2">
        <v>180</v>
      </c>
      <c r="K211" t="s">
        <v>322</v>
      </c>
      <c r="L211" s="2">
        <f>Table4[[#This Row],[total_amount]]*Table4[[#This Row],[refund_count]]</f>
        <v>0</v>
      </c>
      <c r="M211">
        <v>0</v>
      </c>
    </row>
    <row r="212" spans="1:13" x14ac:dyDescent="0.35">
      <c r="A212">
        <v>1211</v>
      </c>
      <c r="B212" s="1">
        <v>45786</v>
      </c>
      <c r="C212">
        <v>8</v>
      </c>
      <c r="D212">
        <v>162</v>
      </c>
      <c r="E212">
        <v>4</v>
      </c>
      <c r="F212">
        <v>3</v>
      </c>
      <c r="G212" s="2">
        <f>Table4[[#This Row],[gross_amount]]/Table4[[#This Row],[quantity]]</f>
        <v>150</v>
      </c>
      <c r="H212" s="2">
        <f>Table4[[#This Row],[total_amount]]/(1-Table4[[#This Row],[discount_pct]]/100)</f>
        <v>450</v>
      </c>
      <c r="I212">
        <v>10</v>
      </c>
      <c r="J212" s="2">
        <v>405</v>
      </c>
      <c r="K212" t="s">
        <v>322</v>
      </c>
      <c r="L212" s="2">
        <f>Table4[[#This Row],[total_amount]]*Table4[[#This Row],[refund_count]]</f>
        <v>0</v>
      </c>
      <c r="M212">
        <v>0</v>
      </c>
    </row>
    <row r="213" spans="1:13" x14ac:dyDescent="0.35">
      <c r="A213">
        <v>1212</v>
      </c>
      <c r="B213" s="1">
        <v>45786</v>
      </c>
      <c r="C213">
        <v>5</v>
      </c>
      <c r="D213">
        <v>124</v>
      </c>
      <c r="E213">
        <v>6</v>
      </c>
      <c r="F213">
        <v>3</v>
      </c>
      <c r="G213" s="2">
        <f>Table4[[#This Row],[gross_amount]]/Table4[[#This Row],[quantity]]</f>
        <v>113.33333333333333</v>
      </c>
      <c r="H213" s="2">
        <f>Table4[[#This Row],[total_amount]]/(1-Table4[[#This Row],[discount_pct]]/100)</f>
        <v>340</v>
      </c>
      <c r="I213">
        <v>10</v>
      </c>
      <c r="J213" s="2">
        <v>306</v>
      </c>
      <c r="K213" t="s">
        <v>255</v>
      </c>
      <c r="L213" s="2">
        <f>Table4[[#This Row],[total_amount]]*Table4[[#This Row],[refund_count]]</f>
        <v>0</v>
      </c>
      <c r="M213">
        <v>0</v>
      </c>
    </row>
    <row r="214" spans="1:13" x14ac:dyDescent="0.35">
      <c r="A214">
        <v>1213</v>
      </c>
      <c r="B214" s="1">
        <v>45817</v>
      </c>
      <c r="C214">
        <v>3</v>
      </c>
      <c r="D214">
        <v>156</v>
      </c>
      <c r="E214">
        <v>5</v>
      </c>
      <c r="F214">
        <v>2</v>
      </c>
      <c r="G214" s="2">
        <f>Table4[[#This Row],[gross_amount]]/Table4[[#This Row],[quantity]]</f>
        <v>160</v>
      </c>
      <c r="H214" s="2">
        <f>Table4[[#This Row],[total_amount]]/(1-Table4[[#This Row],[discount_pct]]/100)</f>
        <v>320</v>
      </c>
      <c r="I214">
        <v>15</v>
      </c>
      <c r="J214" s="2">
        <v>272</v>
      </c>
      <c r="K214" t="s">
        <v>322</v>
      </c>
      <c r="L214" s="2">
        <f>Table4[[#This Row],[total_amount]]*Table4[[#This Row],[refund_count]]</f>
        <v>0</v>
      </c>
      <c r="M214">
        <v>0</v>
      </c>
    </row>
    <row r="215" spans="1:13" x14ac:dyDescent="0.35">
      <c r="A215">
        <v>1214</v>
      </c>
      <c r="B215" s="1">
        <v>45817</v>
      </c>
      <c r="C215">
        <v>3</v>
      </c>
      <c r="D215">
        <v>49</v>
      </c>
      <c r="E215">
        <v>2</v>
      </c>
      <c r="F215">
        <v>1</v>
      </c>
      <c r="G215" s="2">
        <f>Table4[[#This Row],[gross_amount]]/Table4[[#This Row],[quantity]]</f>
        <v>240</v>
      </c>
      <c r="H215" s="2">
        <f>Table4[[#This Row],[total_amount]]/(1-Table4[[#This Row],[discount_pct]]/100)</f>
        <v>240</v>
      </c>
      <c r="I215">
        <v>15</v>
      </c>
      <c r="J215" s="2">
        <v>204</v>
      </c>
      <c r="K215" t="s">
        <v>321</v>
      </c>
      <c r="L215" s="2">
        <f>Table4[[#This Row],[total_amount]]*Table4[[#This Row],[refund_count]]</f>
        <v>0</v>
      </c>
      <c r="M215">
        <v>0</v>
      </c>
    </row>
    <row r="216" spans="1:13" x14ac:dyDescent="0.35">
      <c r="A216">
        <v>1215</v>
      </c>
      <c r="B216" s="1">
        <v>45817</v>
      </c>
      <c r="C216">
        <v>8</v>
      </c>
      <c r="D216">
        <v>84</v>
      </c>
      <c r="E216">
        <v>4</v>
      </c>
      <c r="F216">
        <v>2</v>
      </c>
      <c r="G216" s="2">
        <f>Table4[[#This Row],[gross_amount]]/Table4[[#This Row],[quantity]]</f>
        <v>180</v>
      </c>
      <c r="H216" s="2">
        <f>Table4[[#This Row],[total_amount]]/(1-Table4[[#This Row],[discount_pct]]/100)</f>
        <v>360</v>
      </c>
      <c r="I216">
        <v>15</v>
      </c>
      <c r="J216" s="2">
        <v>306</v>
      </c>
      <c r="K216" t="s">
        <v>255</v>
      </c>
      <c r="L216" s="2">
        <f>Table4[[#This Row],[total_amount]]*Table4[[#This Row],[refund_count]]</f>
        <v>0</v>
      </c>
      <c r="M216">
        <v>0</v>
      </c>
    </row>
    <row r="217" spans="1:13" x14ac:dyDescent="0.35">
      <c r="A217">
        <v>1216</v>
      </c>
      <c r="B217" s="1">
        <v>45817</v>
      </c>
      <c r="C217">
        <v>6</v>
      </c>
      <c r="D217">
        <v>21</v>
      </c>
      <c r="E217">
        <v>18</v>
      </c>
      <c r="F217">
        <v>1</v>
      </c>
      <c r="G217" s="2">
        <f>Table4[[#This Row],[gross_amount]]/Table4[[#This Row],[quantity]]</f>
        <v>170</v>
      </c>
      <c r="H217" s="2">
        <f>Table4[[#This Row],[total_amount]]/(1-Table4[[#This Row],[discount_pct]]/100)</f>
        <v>170</v>
      </c>
      <c r="I217">
        <v>0</v>
      </c>
      <c r="J217" s="2">
        <v>170</v>
      </c>
      <c r="K217" t="s">
        <v>322</v>
      </c>
      <c r="L217" s="2">
        <f>Table4[[#This Row],[total_amount]]*Table4[[#This Row],[refund_count]]</f>
        <v>0</v>
      </c>
      <c r="M217">
        <v>0</v>
      </c>
    </row>
    <row r="218" spans="1:13" x14ac:dyDescent="0.35">
      <c r="A218">
        <v>1217</v>
      </c>
      <c r="B218" s="1">
        <v>45848</v>
      </c>
      <c r="C218">
        <v>5</v>
      </c>
      <c r="D218">
        <v>105</v>
      </c>
      <c r="E218">
        <v>5</v>
      </c>
      <c r="F218">
        <v>2</v>
      </c>
      <c r="G218" s="2">
        <f>Table4[[#This Row],[gross_amount]]/Table4[[#This Row],[quantity]]</f>
        <v>160</v>
      </c>
      <c r="H218" s="2">
        <f>Table4[[#This Row],[total_amount]]/(1-Table4[[#This Row],[discount_pct]]/100)</f>
        <v>320</v>
      </c>
      <c r="I218">
        <v>0</v>
      </c>
      <c r="J218" s="2">
        <v>320</v>
      </c>
      <c r="K218" t="s">
        <v>322</v>
      </c>
      <c r="L218" s="2">
        <f>Table4[[#This Row],[total_amount]]*Table4[[#This Row],[refund_count]]</f>
        <v>0</v>
      </c>
      <c r="M218">
        <v>0</v>
      </c>
    </row>
    <row r="219" spans="1:13" x14ac:dyDescent="0.35">
      <c r="A219">
        <v>1218</v>
      </c>
      <c r="B219" s="1">
        <v>45848</v>
      </c>
      <c r="C219">
        <v>4</v>
      </c>
      <c r="D219">
        <v>124</v>
      </c>
      <c r="E219">
        <v>4</v>
      </c>
      <c r="F219">
        <v>2</v>
      </c>
      <c r="G219" s="2">
        <f>Table4[[#This Row],[gross_amount]]/Table4[[#This Row],[quantity]]</f>
        <v>170</v>
      </c>
      <c r="H219" s="2">
        <f>Table4[[#This Row],[total_amount]]/(1-Table4[[#This Row],[discount_pct]]/100)</f>
        <v>340</v>
      </c>
      <c r="I219">
        <v>5</v>
      </c>
      <c r="J219" s="2">
        <v>323</v>
      </c>
      <c r="K219" t="s">
        <v>322</v>
      </c>
      <c r="L219" s="2">
        <f>Table4[[#This Row],[total_amount]]*Table4[[#This Row],[refund_count]]</f>
        <v>0</v>
      </c>
      <c r="M219">
        <v>0</v>
      </c>
    </row>
    <row r="220" spans="1:13" x14ac:dyDescent="0.35">
      <c r="A220">
        <v>1219</v>
      </c>
      <c r="B220" s="1">
        <v>45848</v>
      </c>
      <c r="C220">
        <v>6</v>
      </c>
      <c r="D220">
        <v>188</v>
      </c>
      <c r="E220">
        <v>16</v>
      </c>
      <c r="F220">
        <v>1</v>
      </c>
      <c r="G220" s="2">
        <f>Table4[[#This Row],[gross_amount]]/Table4[[#This Row],[quantity]]</f>
        <v>120</v>
      </c>
      <c r="H220" s="2">
        <f>Table4[[#This Row],[total_amount]]/(1-Table4[[#This Row],[discount_pct]]/100)</f>
        <v>120</v>
      </c>
      <c r="I220">
        <v>0</v>
      </c>
      <c r="J220" s="2">
        <v>120</v>
      </c>
      <c r="K220" t="s">
        <v>322</v>
      </c>
      <c r="L220" s="2">
        <f>Table4[[#This Row],[total_amount]]*Table4[[#This Row],[refund_count]]</f>
        <v>0</v>
      </c>
      <c r="M220">
        <v>0</v>
      </c>
    </row>
    <row r="221" spans="1:13" x14ac:dyDescent="0.35">
      <c r="A221">
        <v>1220</v>
      </c>
      <c r="B221" s="1">
        <v>45848</v>
      </c>
      <c r="C221">
        <v>9</v>
      </c>
      <c r="D221">
        <v>78</v>
      </c>
      <c r="E221">
        <v>7</v>
      </c>
      <c r="F221">
        <v>3</v>
      </c>
      <c r="G221" s="2">
        <f>Table4[[#This Row],[gross_amount]]/Table4[[#This Row],[quantity]]</f>
        <v>160</v>
      </c>
      <c r="H221" s="2">
        <f>Table4[[#This Row],[total_amount]]/(1-Table4[[#This Row],[discount_pct]]/100)</f>
        <v>480</v>
      </c>
      <c r="I221">
        <v>5</v>
      </c>
      <c r="J221" s="2">
        <v>456</v>
      </c>
      <c r="K221" t="s">
        <v>320</v>
      </c>
      <c r="L221" s="2">
        <f>Table4[[#This Row],[total_amount]]*Table4[[#This Row],[refund_count]]</f>
        <v>0</v>
      </c>
      <c r="M221">
        <v>0</v>
      </c>
    </row>
    <row r="222" spans="1:13" x14ac:dyDescent="0.35">
      <c r="A222">
        <v>1221</v>
      </c>
      <c r="B222" s="1">
        <v>45879</v>
      </c>
      <c r="C222">
        <v>5</v>
      </c>
      <c r="D222">
        <v>151</v>
      </c>
      <c r="E222">
        <v>15</v>
      </c>
      <c r="F222">
        <v>2</v>
      </c>
      <c r="G222" s="2">
        <f>Table4[[#This Row],[gross_amount]]/Table4[[#This Row],[quantity]]</f>
        <v>200</v>
      </c>
      <c r="H222" s="2">
        <f>Table4[[#This Row],[total_amount]]/(1-Table4[[#This Row],[discount_pct]]/100)</f>
        <v>400</v>
      </c>
      <c r="I222">
        <v>0</v>
      </c>
      <c r="J222" s="2">
        <v>400</v>
      </c>
      <c r="K222" t="s">
        <v>322</v>
      </c>
      <c r="L222" s="2">
        <f>Table4[[#This Row],[total_amount]]*Table4[[#This Row],[refund_count]]</f>
        <v>0</v>
      </c>
      <c r="M222">
        <v>0</v>
      </c>
    </row>
    <row r="223" spans="1:13" x14ac:dyDescent="0.35">
      <c r="A223">
        <v>1222</v>
      </c>
      <c r="B223" s="1">
        <v>45879</v>
      </c>
      <c r="C223">
        <v>8</v>
      </c>
      <c r="D223">
        <v>9</v>
      </c>
      <c r="E223">
        <v>9</v>
      </c>
      <c r="F223">
        <v>3</v>
      </c>
      <c r="G223" s="2">
        <f>Table4[[#This Row],[gross_amount]]/Table4[[#This Row],[quantity]]</f>
        <v>150</v>
      </c>
      <c r="H223" s="2">
        <f>Table4[[#This Row],[total_amount]]/(1-Table4[[#This Row],[discount_pct]]/100)</f>
        <v>450</v>
      </c>
      <c r="I223">
        <v>0</v>
      </c>
      <c r="J223" s="2">
        <v>450</v>
      </c>
      <c r="K223" t="s">
        <v>322</v>
      </c>
      <c r="L223" s="2">
        <f>Table4[[#This Row],[total_amount]]*Table4[[#This Row],[refund_count]]</f>
        <v>0</v>
      </c>
      <c r="M223">
        <v>0</v>
      </c>
    </row>
    <row r="224" spans="1:13" x14ac:dyDescent="0.35">
      <c r="A224">
        <v>1223</v>
      </c>
      <c r="B224" s="1">
        <v>45879</v>
      </c>
      <c r="C224">
        <v>7</v>
      </c>
      <c r="D224">
        <v>26</v>
      </c>
      <c r="E224">
        <v>13</v>
      </c>
      <c r="F224">
        <v>1</v>
      </c>
      <c r="G224" s="2">
        <f>Table4[[#This Row],[gross_amount]]/Table4[[#This Row],[quantity]]</f>
        <v>300</v>
      </c>
      <c r="H224" s="2">
        <f>Table4[[#This Row],[total_amount]]/(1-Table4[[#This Row],[discount_pct]]/100)</f>
        <v>300</v>
      </c>
      <c r="I224">
        <v>15</v>
      </c>
      <c r="J224" s="2">
        <v>255</v>
      </c>
      <c r="K224" t="s">
        <v>322</v>
      </c>
      <c r="L224" s="2">
        <f>Table4[[#This Row],[total_amount]]*Table4[[#This Row],[refund_count]]</f>
        <v>0</v>
      </c>
      <c r="M224">
        <v>0</v>
      </c>
    </row>
    <row r="225" spans="1:13" x14ac:dyDescent="0.35">
      <c r="A225">
        <v>1224</v>
      </c>
      <c r="B225" s="1">
        <v>45879</v>
      </c>
      <c r="C225">
        <v>10</v>
      </c>
      <c r="D225">
        <v>176</v>
      </c>
      <c r="E225">
        <v>1</v>
      </c>
      <c r="F225">
        <v>1</v>
      </c>
      <c r="G225" s="2">
        <f>Table4[[#This Row],[gross_amount]]/Table4[[#This Row],[quantity]]</f>
        <v>220</v>
      </c>
      <c r="H225" s="2">
        <f>Table4[[#This Row],[total_amount]]/(1-Table4[[#This Row],[discount_pct]]/100)</f>
        <v>220</v>
      </c>
      <c r="I225">
        <v>10</v>
      </c>
      <c r="J225" s="2">
        <v>198</v>
      </c>
      <c r="K225" t="s">
        <v>320</v>
      </c>
      <c r="L225" s="2">
        <f>Table4[[#This Row],[total_amount]]*Table4[[#This Row],[refund_count]]</f>
        <v>0</v>
      </c>
      <c r="M225">
        <v>0</v>
      </c>
    </row>
    <row r="226" spans="1:13" x14ac:dyDescent="0.35">
      <c r="A226">
        <v>1225</v>
      </c>
      <c r="B226" s="1">
        <v>45910</v>
      </c>
      <c r="C226">
        <v>1</v>
      </c>
      <c r="D226">
        <v>151</v>
      </c>
      <c r="E226">
        <v>9</v>
      </c>
      <c r="F226">
        <v>1</v>
      </c>
      <c r="G226" s="2">
        <f>Table4[[#This Row],[gross_amount]]/Table4[[#This Row],[quantity]]</f>
        <v>200</v>
      </c>
      <c r="H226" s="2">
        <f>Table4[[#This Row],[total_amount]]/(1-Table4[[#This Row],[discount_pct]]/100)</f>
        <v>200</v>
      </c>
      <c r="I226">
        <v>0</v>
      </c>
      <c r="J226" s="2">
        <v>200</v>
      </c>
      <c r="K226" t="s">
        <v>321</v>
      </c>
      <c r="L226" s="2">
        <f>Table4[[#This Row],[total_amount]]*Table4[[#This Row],[refund_count]]</f>
        <v>0</v>
      </c>
      <c r="M226">
        <v>0</v>
      </c>
    </row>
    <row r="227" spans="1:13" x14ac:dyDescent="0.35">
      <c r="A227">
        <v>1226</v>
      </c>
      <c r="B227" s="1">
        <v>45910</v>
      </c>
      <c r="C227">
        <v>4</v>
      </c>
      <c r="D227">
        <v>149</v>
      </c>
      <c r="E227">
        <v>19</v>
      </c>
      <c r="F227">
        <v>2</v>
      </c>
      <c r="G227" s="2">
        <f>Table4[[#This Row],[gross_amount]]/Table4[[#This Row],[quantity]]</f>
        <v>170</v>
      </c>
      <c r="H227" s="2">
        <f>Table4[[#This Row],[total_amount]]/(1-Table4[[#This Row],[discount_pct]]/100)</f>
        <v>340</v>
      </c>
      <c r="I227">
        <v>5</v>
      </c>
      <c r="J227" s="2">
        <v>323</v>
      </c>
      <c r="K227" t="s">
        <v>320</v>
      </c>
      <c r="L227" s="2">
        <f>Table4[[#This Row],[total_amount]]*Table4[[#This Row],[refund_count]]</f>
        <v>0</v>
      </c>
      <c r="M227">
        <v>0</v>
      </c>
    </row>
    <row r="228" spans="1:13" x14ac:dyDescent="0.35">
      <c r="A228">
        <v>1227</v>
      </c>
      <c r="B228" s="1">
        <v>45910</v>
      </c>
      <c r="C228">
        <v>1</v>
      </c>
      <c r="D228">
        <v>137</v>
      </c>
      <c r="E228">
        <v>18</v>
      </c>
      <c r="F228">
        <v>3</v>
      </c>
      <c r="G228" s="2">
        <f>Table4[[#This Row],[gross_amount]]/Table4[[#This Row],[quantity]]</f>
        <v>150</v>
      </c>
      <c r="H228" s="2">
        <f>Table4[[#This Row],[total_amount]]/(1-Table4[[#This Row],[discount_pct]]/100)</f>
        <v>450</v>
      </c>
      <c r="I228">
        <v>20</v>
      </c>
      <c r="J228" s="2">
        <v>360</v>
      </c>
      <c r="K228" t="s">
        <v>321</v>
      </c>
      <c r="L228" s="2">
        <f>Table4[[#This Row],[total_amount]]*Table4[[#This Row],[refund_count]]</f>
        <v>0</v>
      </c>
      <c r="M228">
        <v>0</v>
      </c>
    </row>
    <row r="229" spans="1:13" x14ac:dyDescent="0.35">
      <c r="A229">
        <v>1228</v>
      </c>
      <c r="B229" s="1">
        <v>45910</v>
      </c>
      <c r="C229">
        <v>7</v>
      </c>
      <c r="D229">
        <v>101</v>
      </c>
      <c r="E229">
        <v>1</v>
      </c>
      <c r="F229">
        <v>1</v>
      </c>
      <c r="G229" s="2">
        <f>Table4[[#This Row],[gross_amount]]/Table4[[#This Row],[quantity]]</f>
        <v>240</v>
      </c>
      <c r="H229" s="2">
        <f>Table4[[#This Row],[total_amount]]/(1-Table4[[#This Row],[discount_pct]]/100)</f>
        <v>240</v>
      </c>
      <c r="I229">
        <v>10</v>
      </c>
      <c r="J229" s="2">
        <v>216</v>
      </c>
      <c r="K229" t="s">
        <v>255</v>
      </c>
      <c r="L229" s="2">
        <f>Table4[[#This Row],[total_amount]]*Table4[[#This Row],[refund_count]]</f>
        <v>0</v>
      </c>
      <c r="M229">
        <v>0</v>
      </c>
    </row>
    <row r="230" spans="1:13" x14ac:dyDescent="0.35">
      <c r="A230">
        <v>1229</v>
      </c>
      <c r="B230" s="1">
        <v>45940</v>
      </c>
      <c r="C230">
        <v>3</v>
      </c>
      <c r="D230">
        <v>47</v>
      </c>
      <c r="E230">
        <v>3</v>
      </c>
      <c r="F230">
        <v>3</v>
      </c>
      <c r="G230" s="2">
        <f>Table4[[#This Row],[gross_amount]]/Table4[[#This Row],[quantity]]</f>
        <v>180</v>
      </c>
      <c r="H230" s="2">
        <f>Table4[[#This Row],[total_amount]]/(1-Table4[[#This Row],[discount_pct]]/100)</f>
        <v>540</v>
      </c>
      <c r="I230">
        <v>0</v>
      </c>
      <c r="J230" s="2">
        <v>540</v>
      </c>
      <c r="K230" t="s">
        <v>321</v>
      </c>
      <c r="L230" s="2">
        <f>Table4[[#This Row],[total_amount]]*Table4[[#This Row],[refund_count]]</f>
        <v>0</v>
      </c>
      <c r="M230">
        <v>0</v>
      </c>
    </row>
    <row r="231" spans="1:13" x14ac:dyDescent="0.35">
      <c r="A231">
        <v>1230</v>
      </c>
      <c r="B231" s="1">
        <v>45940</v>
      </c>
      <c r="C231">
        <v>6</v>
      </c>
      <c r="D231">
        <v>168</v>
      </c>
      <c r="E231">
        <v>2</v>
      </c>
      <c r="F231">
        <v>1</v>
      </c>
      <c r="G231" s="2">
        <f>Table4[[#This Row],[gross_amount]]/Table4[[#This Row],[quantity]]</f>
        <v>120</v>
      </c>
      <c r="H231" s="2">
        <f>Table4[[#This Row],[total_amount]]/(1-Table4[[#This Row],[discount_pct]]/100)</f>
        <v>120</v>
      </c>
      <c r="I231">
        <v>0</v>
      </c>
      <c r="J231" s="2">
        <v>120</v>
      </c>
      <c r="K231" t="s">
        <v>320</v>
      </c>
      <c r="L231" s="2">
        <f>Table4[[#This Row],[total_amount]]*Table4[[#This Row],[refund_count]]</f>
        <v>0</v>
      </c>
      <c r="M231">
        <v>0</v>
      </c>
    </row>
    <row r="232" spans="1:13" x14ac:dyDescent="0.35">
      <c r="A232">
        <v>1231</v>
      </c>
      <c r="B232" s="1">
        <v>45940</v>
      </c>
      <c r="C232">
        <v>9</v>
      </c>
      <c r="D232">
        <v>158</v>
      </c>
      <c r="E232">
        <v>4</v>
      </c>
      <c r="F232">
        <v>1</v>
      </c>
      <c r="G232" s="2">
        <f>Table4[[#This Row],[gross_amount]]/Table4[[#This Row],[quantity]]</f>
        <v>240</v>
      </c>
      <c r="H232" s="2">
        <f>Table4[[#This Row],[total_amount]]/(1-Table4[[#This Row],[discount_pct]]/100)</f>
        <v>240</v>
      </c>
      <c r="I232">
        <v>15</v>
      </c>
      <c r="J232" s="2">
        <v>204</v>
      </c>
      <c r="K232" t="s">
        <v>322</v>
      </c>
      <c r="L232" s="2">
        <f>Table4[[#This Row],[total_amount]]*Table4[[#This Row],[refund_count]]</f>
        <v>0</v>
      </c>
      <c r="M232">
        <v>0</v>
      </c>
    </row>
    <row r="233" spans="1:13" x14ac:dyDescent="0.35">
      <c r="A233">
        <v>1232</v>
      </c>
      <c r="B233" s="1">
        <v>45940</v>
      </c>
      <c r="C233">
        <v>7</v>
      </c>
      <c r="D233">
        <v>48</v>
      </c>
      <c r="E233">
        <v>6</v>
      </c>
      <c r="F233">
        <v>3</v>
      </c>
      <c r="G233" s="2">
        <f>Table4[[#This Row],[gross_amount]]/Table4[[#This Row],[quantity]]</f>
        <v>113.33333333333333</v>
      </c>
      <c r="H233" s="2">
        <f>Table4[[#This Row],[total_amount]]/(1-Table4[[#This Row],[discount_pct]]/100)</f>
        <v>340</v>
      </c>
      <c r="I233">
        <v>10</v>
      </c>
      <c r="J233" s="2">
        <v>306</v>
      </c>
      <c r="K233" t="s">
        <v>321</v>
      </c>
      <c r="L233" s="2">
        <f>Table4[[#This Row],[total_amount]]*Table4[[#This Row],[refund_count]]</f>
        <v>0</v>
      </c>
      <c r="M233">
        <v>0</v>
      </c>
    </row>
    <row r="234" spans="1:13" x14ac:dyDescent="0.35">
      <c r="A234">
        <v>1233</v>
      </c>
      <c r="B234" s="1">
        <v>45971</v>
      </c>
      <c r="C234">
        <v>6</v>
      </c>
      <c r="D234">
        <v>183</v>
      </c>
      <c r="E234">
        <v>15</v>
      </c>
      <c r="F234">
        <v>3</v>
      </c>
      <c r="G234" s="2">
        <f>Table4[[#This Row],[gross_amount]]/Table4[[#This Row],[quantity]]</f>
        <v>160</v>
      </c>
      <c r="H234" s="2">
        <f>Table4[[#This Row],[total_amount]]/(1-Table4[[#This Row],[discount_pct]]/100)</f>
        <v>480</v>
      </c>
      <c r="I234">
        <v>15</v>
      </c>
      <c r="J234" s="2">
        <v>408</v>
      </c>
      <c r="K234" t="s">
        <v>321</v>
      </c>
      <c r="L234" s="2">
        <f>Table4[[#This Row],[total_amount]]*Table4[[#This Row],[refund_count]]</f>
        <v>0</v>
      </c>
      <c r="M234">
        <v>0</v>
      </c>
    </row>
    <row r="235" spans="1:13" x14ac:dyDescent="0.35">
      <c r="A235">
        <v>1234</v>
      </c>
      <c r="B235" s="1">
        <v>45971</v>
      </c>
      <c r="C235">
        <v>4</v>
      </c>
      <c r="D235">
        <v>88</v>
      </c>
      <c r="E235">
        <v>4</v>
      </c>
      <c r="F235">
        <v>2</v>
      </c>
      <c r="G235" s="2">
        <f>Table4[[#This Row],[gross_amount]]/Table4[[#This Row],[quantity]]</f>
        <v>180</v>
      </c>
      <c r="H235" s="2">
        <f>Table4[[#This Row],[total_amount]]/(1-Table4[[#This Row],[discount_pct]]/100)</f>
        <v>360</v>
      </c>
      <c r="I235">
        <v>0</v>
      </c>
      <c r="J235" s="2">
        <v>360</v>
      </c>
      <c r="K235" t="s">
        <v>322</v>
      </c>
      <c r="L235" s="2">
        <f>Table4[[#This Row],[total_amount]]*Table4[[#This Row],[refund_count]]</f>
        <v>0</v>
      </c>
      <c r="M235">
        <v>0</v>
      </c>
    </row>
    <row r="236" spans="1:13" x14ac:dyDescent="0.35">
      <c r="A236">
        <v>1235</v>
      </c>
      <c r="B236" s="1">
        <v>45971</v>
      </c>
      <c r="C236">
        <v>4</v>
      </c>
      <c r="D236">
        <v>189</v>
      </c>
      <c r="E236">
        <v>13</v>
      </c>
      <c r="F236">
        <v>1</v>
      </c>
      <c r="G236" s="2">
        <f>Table4[[#This Row],[gross_amount]]/Table4[[#This Row],[quantity]]</f>
        <v>300</v>
      </c>
      <c r="H236" s="2">
        <f>Table4[[#This Row],[total_amount]]/(1-Table4[[#This Row],[discount_pct]]/100)</f>
        <v>300</v>
      </c>
      <c r="I236">
        <v>10</v>
      </c>
      <c r="J236" s="2">
        <v>270</v>
      </c>
      <c r="K236" t="s">
        <v>322</v>
      </c>
      <c r="L236" s="2">
        <f>Table4[[#This Row],[total_amount]]*Table4[[#This Row],[refund_count]]</f>
        <v>0</v>
      </c>
      <c r="M236">
        <v>0</v>
      </c>
    </row>
    <row r="237" spans="1:13" x14ac:dyDescent="0.35">
      <c r="A237">
        <v>1236</v>
      </c>
      <c r="B237" s="1">
        <v>45971</v>
      </c>
      <c r="C237">
        <v>5</v>
      </c>
      <c r="D237">
        <v>215</v>
      </c>
      <c r="E237">
        <v>19</v>
      </c>
      <c r="F237">
        <v>3</v>
      </c>
      <c r="G237" s="2">
        <f>Table4[[#This Row],[gross_amount]]/Table4[[#This Row],[quantity]]</f>
        <v>160</v>
      </c>
      <c r="H237" s="2">
        <f>Table4[[#This Row],[total_amount]]/(1-Table4[[#This Row],[discount_pct]]/100)</f>
        <v>480</v>
      </c>
      <c r="I237">
        <v>0</v>
      </c>
      <c r="J237" s="2">
        <v>480</v>
      </c>
      <c r="K237" t="s">
        <v>322</v>
      </c>
      <c r="L237" s="2">
        <f>Table4[[#This Row],[total_amount]]*Table4[[#This Row],[refund_count]]</f>
        <v>0</v>
      </c>
      <c r="M237">
        <v>0</v>
      </c>
    </row>
    <row r="238" spans="1:13" x14ac:dyDescent="0.35">
      <c r="A238">
        <v>1237</v>
      </c>
      <c r="B238" s="1">
        <v>46001</v>
      </c>
      <c r="C238">
        <v>4</v>
      </c>
      <c r="D238">
        <v>209</v>
      </c>
      <c r="E238">
        <v>17</v>
      </c>
      <c r="F238">
        <v>2</v>
      </c>
      <c r="G238" s="2">
        <f>Table4[[#This Row],[gross_amount]]/Table4[[#This Row],[quantity]]</f>
        <v>150</v>
      </c>
      <c r="H238" s="2">
        <f>Table4[[#This Row],[total_amount]]/(1-Table4[[#This Row],[discount_pct]]/100)</f>
        <v>300</v>
      </c>
      <c r="I238">
        <v>0</v>
      </c>
      <c r="J238" s="2">
        <v>300</v>
      </c>
      <c r="K238" t="s">
        <v>322</v>
      </c>
      <c r="L238" s="2">
        <f>Table4[[#This Row],[total_amount]]*Table4[[#This Row],[refund_count]]</f>
        <v>0</v>
      </c>
      <c r="M238">
        <v>0</v>
      </c>
    </row>
    <row r="239" spans="1:13" x14ac:dyDescent="0.35">
      <c r="A239">
        <v>1238</v>
      </c>
      <c r="B239" s="1">
        <v>46001</v>
      </c>
      <c r="C239">
        <v>9</v>
      </c>
      <c r="D239">
        <v>127</v>
      </c>
      <c r="E239">
        <v>19</v>
      </c>
      <c r="F239">
        <v>3</v>
      </c>
      <c r="G239" s="2">
        <f>Table4[[#This Row],[gross_amount]]/Table4[[#This Row],[quantity]]</f>
        <v>160</v>
      </c>
      <c r="H239" s="2">
        <f>Table4[[#This Row],[total_amount]]/(1-Table4[[#This Row],[discount_pct]]/100)</f>
        <v>480</v>
      </c>
      <c r="I239">
        <v>15</v>
      </c>
      <c r="J239" s="2">
        <v>408</v>
      </c>
      <c r="K239" t="s">
        <v>322</v>
      </c>
      <c r="L239" s="2">
        <f>Table4[[#This Row],[total_amount]]*Table4[[#This Row],[refund_count]]</f>
        <v>0</v>
      </c>
      <c r="M239">
        <v>0</v>
      </c>
    </row>
    <row r="240" spans="1:13" x14ac:dyDescent="0.35">
      <c r="A240">
        <v>1239</v>
      </c>
      <c r="B240" s="1">
        <v>46001</v>
      </c>
      <c r="C240">
        <v>4</v>
      </c>
      <c r="D240">
        <v>67</v>
      </c>
      <c r="E240">
        <v>3</v>
      </c>
      <c r="F240">
        <v>1</v>
      </c>
      <c r="G240" s="2">
        <f>Table4[[#This Row],[gross_amount]]/Table4[[#This Row],[quantity]]</f>
        <v>240</v>
      </c>
      <c r="H240" s="2">
        <f>Table4[[#This Row],[total_amount]]/(1-Table4[[#This Row],[discount_pct]]/100)</f>
        <v>240</v>
      </c>
      <c r="I240">
        <v>15</v>
      </c>
      <c r="J240" s="2">
        <v>204</v>
      </c>
      <c r="K240" t="s">
        <v>322</v>
      </c>
      <c r="L240" s="2">
        <f>Table4[[#This Row],[total_amount]]*Table4[[#This Row],[refund_count]]</f>
        <v>0</v>
      </c>
      <c r="M240">
        <v>0</v>
      </c>
    </row>
    <row r="241" spans="1:13" x14ac:dyDescent="0.35">
      <c r="A241">
        <v>1240</v>
      </c>
      <c r="B241" s="1">
        <v>46001</v>
      </c>
      <c r="C241">
        <v>2</v>
      </c>
      <c r="D241">
        <v>223</v>
      </c>
      <c r="E241">
        <v>7</v>
      </c>
      <c r="F241">
        <v>2</v>
      </c>
      <c r="G241" s="2">
        <f>Table4[[#This Row],[gross_amount]]/Table4[[#This Row],[quantity]]</f>
        <v>170</v>
      </c>
      <c r="H241" s="2">
        <f>Table4[[#This Row],[total_amount]]/(1-Table4[[#This Row],[discount_pct]]/100)</f>
        <v>340</v>
      </c>
      <c r="I241">
        <v>5</v>
      </c>
      <c r="J241" s="2">
        <v>323</v>
      </c>
      <c r="K241" t="s">
        <v>321</v>
      </c>
      <c r="L241" s="2">
        <f>Table4[[#This Row],[total_amount]]*Table4[[#This Row],[refund_count]]</f>
        <v>0</v>
      </c>
      <c r="M241">
        <v>0</v>
      </c>
    </row>
    <row r="242" spans="1:13" x14ac:dyDescent="0.35">
      <c r="A242">
        <v>1241</v>
      </c>
      <c r="B242" s="1">
        <v>45668</v>
      </c>
      <c r="C242">
        <v>7</v>
      </c>
      <c r="D242">
        <v>116</v>
      </c>
      <c r="E242">
        <v>12</v>
      </c>
      <c r="F242">
        <v>3</v>
      </c>
      <c r="G242" s="2">
        <f>Table4[[#This Row],[gross_amount]]/Table4[[#This Row],[quantity]]</f>
        <v>120</v>
      </c>
      <c r="H242" s="2">
        <f>Table4[[#This Row],[total_amount]]/(1-Table4[[#This Row],[discount_pct]]/100)</f>
        <v>360</v>
      </c>
      <c r="I242">
        <v>20</v>
      </c>
      <c r="J242" s="2">
        <v>288</v>
      </c>
      <c r="K242" t="s">
        <v>321</v>
      </c>
      <c r="L242" s="2">
        <f>Table4[[#This Row],[total_amount]]*Table4[[#This Row],[refund_count]]</f>
        <v>0</v>
      </c>
      <c r="M242">
        <v>0</v>
      </c>
    </row>
    <row r="243" spans="1:13" x14ac:dyDescent="0.35">
      <c r="A243">
        <v>1242</v>
      </c>
      <c r="B243" s="1">
        <v>45668</v>
      </c>
      <c r="C243">
        <v>5</v>
      </c>
      <c r="D243">
        <v>214</v>
      </c>
      <c r="E243">
        <v>1</v>
      </c>
      <c r="F243">
        <v>1</v>
      </c>
      <c r="G243" s="2">
        <f>Table4[[#This Row],[gross_amount]]/Table4[[#This Row],[quantity]]</f>
        <v>200</v>
      </c>
      <c r="H243" s="2">
        <f>Table4[[#This Row],[total_amount]]/(1-Table4[[#This Row],[discount_pct]]/100)</f>
        <v>200</v>
      </c>
      <c r="I243">
        <v>0</v>
      </c>
      <c r="J243" s="2">
        <v>200</v>
      </c>
      <c r="K243" t="s">
        <v>320</v>
      </c>
      <c r="L243" s="2">
        <f>Table4[[#This Row],[total_amount]]*Table4[[#This Row],[refund_count]]</f>
        <v>0</v>
      </c>
      <c r="M243">
        <v>0</v>
      </c>
    </row>
    <row r="244" spans="1:13" x14ac:dyDescent="0.35">
      <c r="A244">
        <v>1243</v>
      </c>
      <c r="B244" s="1">
        <v>45668</v>
      </c>
      <c r="C244">
        <v>8</v>
      </c>
      <c r="D244">
        <v>163</v>
      </c>
      <c r="E244">
        <v>7</v>
      </c>
      <c r="F244">
        <v>1</v>
      </c>
      <c r="G244" s="2">
        <f>Table4[[#This Row],[gross_amount]]/Table4[[#This Row],[quantity]]</f>
        <v>200</v>
      </c>
      <c r="H244" s="2">
        <f>Table4[[#This Row],[total_amount]]/(1-Table4[[#This Row],[discount_pct]]/100)</f>
        <v>200</v>
      </c>
      <c r="I244">
        <v>0</v>
      </c>
      <c r="J244" s="2">
        <v>200</v>
      </c>
      <c r="K244" t="s">
        <v>322</v>
      </c>
      <c r="L244" s="2">
        <f>Table4[[#This Row],[total_amount]]*Table4[[#This Row],[refund_count]]</f>
        <v>0</v>
      </c>
      <c r="M244">
        <v>0</v>
      </c>
    </row>
    <row r="245" spans="1:13" x14ac:dyDescent="0.35">
      <c r="A245">
        <v>1244</v>
      </c>
      <c r="B245" s="1">
        <v>45668</v>
      </c>
      <c r="C245">
        <v>4</v>
      </c>
      <c r="D245">
        <v>29</v>
      </c>
      <c r="E245">
        <v>2</v>
      </c>
      <c r="F245">
        <v>3</v>
      </c>
      <c r="G245" s="2">
        <f>Table4[[#This Row],[gross_amount]]/Table4[[#This Row],[quantity]]</f>
        <v>120</v>
      </c>
      <c r="H245" s="2">
        <f>Table4[[#This Row],[total_amount]]/(1-Table4[[#This Row],[discount_pct]]/100)</f>
        <v>360</v>
      </c>
      <c r="I245">
        <v>0</v>
      </c>
      <c r="J245" s="2">
        <v>360</v>
      </c>
      <c r="K245" t="s">
        <v>321</v>
      </c>
      <c r="L245" s="2">
        <f>Table4[[#This Row],[total_amount]]*Table4[[#This Row],[refund_count]]</f>
        <v>0</v>
      </c>
      <c r="M245">
        <v>0</v>
      </c>
    </row>
    <row r="246" spans="1:13" x14ac:dyDescent="0.35">
      <c r="A246">
        <v>1245</v>
      </c>
      <c r="B246" s="1">
        <v>45699</v>
      </c>
      <c r="C246">
        <v>4</v>
      </c>
      <c r="D246">
        <v>239</v>
      </c>
      <c r="E246">
        <v>4</v>
      </c>
      <c r="F246">
        <v>3</v>
      </c>
      <c r="G246" s="2">
        <f>Table4[[#This Row],[gross_amount]]/Table4[[#This Row],[quantity]]</f>
        <v>160</v>
      </c>
      <c r="H246" s="2">
        <f>Table4[[#This Row],[total_amount]]/(1-Table4[[#This Row],[discount_pct]]/100)</f>
        <v>480</v>
      </c>
      <c r="I246">
        <v>0</v>
      </c>
      <c r="J246" s="2">
        <v>480</v>
      </c>
      <c r="K246" t="s">
        <v>321</v>
      </c>
      <c r="L246" s="2">
        <f>Table4[[#This Row],[total_amount]]*Table4[[#This Row],[refund_count]]</f>
        <v>0</v>
      </c>
      <c r="M246">
        <v>0</v>
      </c>
    </row>
    <row r="247" spans="1:13" x14ac:dyDescent="0.35">
      <c r="A247">
        <v>1246</v>
      </c>
      <c r="B247" s="1">
        <v>45699</v>
      </c>
      <c r="C247">
        <v>5</v>
      </c>
      <c r="D247">
        <v>230</v>
      </c>
      <c r="E247">
        <v>4</v>
      </c>
      <c r="F247">
        <v>1</v>
      </c>
      <c r="G247" s="2">
        <f>Table4[[#This Row],[gross_amount]]/Table4[[#This Row],[quantity]]</f>
        <v>180</v>
      </c>
      <c r="H247" s="2">
        <f>Table4[[#This Row],[total_amount]]/(1-Table4[[#This Row],[discount_pct]]/100)</f>
        <v>180</v>
      </c>
      <c r="I247">
        <v>5</v>
      </c>
      <c r="J247" s="2">
        <v>171</v>
      </c>
      <c r="K247" t="s">
        <v>321</v>
      </c>
      <c r="L247" s="2">
        <f>Table4[[#This Row],[total_amount]]*Table4[[#This Row],[refund_count]]</f>
        <v>0</v>
      </c>
      <c r="M247">
        <v>0</v>
      </c>
    </row>
    <row r="248" spans="1:13" x14ac:dyDescent="0.35">
      <c r="A248">
        <v>1247</v>
      </c>
      <c r="B248" s="1">
        <v>45699</v>
      </c>
      <c r="C248">
        <v>3</v>
      </c>
      <c r="D248">
        <v>19</v>
      </c>
      <c r="E248">
        <v>3</v>
      </c>
      <c r="F248">
        <v>1</v>
      </c>
      <c r="G248" s="2">
        <f>Table4[[#This Row],[gross_amount]]/Table4[[#This Row],[quantity]]</f>
        <v>200</v>
      </c>
      <c r="H248" s="2">
        <f>Table4[[#This Row],[total_amount]]/(1-Table4[[#This Row],[discount_pct]]/100)</f>
        <v>200</v>
      </c>
      <c r="I248">
        <v>0</v>
      </c>
      <c r="J248" s="2">
        <v>200</v>
      </c>
      <c r="K248" t="s">
        <v>322</v>
      </c>
      <c r="L248" s="2">
        <f>Table4[[#This Row],[total_amount]]*Table4[[#This Row],[refund_count]]</f>
        <v>0</v>
      </c>
      <c r="M248">
        <v>0</v>
      </c>
    </row>
    <row r="249" spans="1:13" x14ac:dyDescent="0.35">
      <c r="A249">
        <v>1248</v>
      </c>
      <c r="B249" s="1">
        <v>45699</v>
      </c>
      <c r="C249">
        <v>4</v>
      </c>
      <c r="D249">
        <v>33</v>
      </c>
      <c r="E249">
        <v>20</v>
      </c>
      <c r="F249">
        <v>3</v>
      </c>
      <c r="G249" s="2">
        <f>Table4[[#This Row],[gross_amount]]/Table4[[#This Row],[quantity]]</f>
        <v>160</v>
      </c>
      <c r="H249" s="2">
        <f>Table4[[#This Row],[total_amount]]/(1-Table4[[#This Row],[discount_pct]]/100)</f>
        <v>480</v>
      </c>
      <c r="I249">
        <v>0</v>
      </c>
      <c r="J249" s="2">
        <v>480</v>
      </c>
      <c r="K249" t="s">
        <v>321</v>
      </c>
      <c r="L249" s="2">
        <f>Table4[[#This Row],[total_amount]]*Table4[[#This Row],[refund_count]]</f>
        <v>0</v>
      </c>
      <c r="M249">
        <v>0</v>
      </c>
    </row>
    <row r="250" spans="1:13" x14ac:dyDescent="0.35">
      <c r="A250">
        <v>1249</v>
      </c>
      <c r="B250" s="1">
        <v>45727</v>
      </c>
      <c r="C250">
        <v>10</v>
      </c>
      <c r="D250">
        <v>132</v>
      </c>
      <c r="E250">
        <v>3</v>
      </c>
      <c r="F250">
        <v>3</v>
      </c>
      <c r="G250" s="2">
        <f>Table4[[#This Row],[gross_amount]]/Table4[[#This Row],[quantity]]</f>
        <v>140</v>
      </c>
      <c r="H250" s="2">
        <f>Table4[[#This Row],[total_amount]]/(1-Table4[[#This Row],[discount_pct]]/100)</f>
        <v>420</v>
      </c>
      <c r="I250">
        <v>10</v>
      </c>
      <c r="J250" s="2">
        <v>378</v>
      </c>
      <c r="K250" t="s">
        <v>320</v>
      </c>
      <c r="L250" s="2">
        <f>Table4[[#This Row],[total_amount]]*Table4[[#This Row],[refund_count]]</f>
        <v>0</v>
      </c>
      <c r="M250">
        <v>0</v>
      </c>
    </row>
    <row r="251" spans="1:13" x14ac:dyDescent="0.35">
      <c r="A251">
        <v>1250</v>
      </c>
      <c r="B251" s="1">
        <v>45727</v>
      </c>
      <c r="C251">
        <v>3</v>
      </c>
      <c r="D251">
        <v>70</v>
      </c>
      <c r="E251">
        <v>17</v>
      </c>
      <c r="F251">
        <v>1</v>
      </c>
      <c r="G251" s="2">
        <f>Table4[[#This Row],[gross_amount]]/Table4[[#This Row],[quantity]]</f>
        <v>220</v>
      </c>
      <c r="H251" s="2">
        <f>Table4[[#This Row],[total_amount]]/(1-Table4[[#This Row],[discount_pct]]/100)</f>
        <v>220</v>
      </c>
      <c r="I251">
        <v>10</v>
      </c>
      <c r="J251" s="2">
        <v>198</v>
      </c>
      <c r="K251" t="s">
        <v>320</v>
      </c>
      <c r="L251" s="2">
        <f>Table4[[#This Row],[total_amount]]*Table4[[#This Row],[refund_count]]</f>
        <v>0</v>
      </c>
      <c r="M251">
        <v>0</v>
      </c>
    </row>
    <row r="252" spans="1:13" x14ac:dyDescent="0.35">
      <c r="A252">
        <v>1251</v>
      </c>
      <c r="B252" s="1">
        <v>45727</v>
      </c>
      <c r="C252">
        <v>2</v>
      </c>
      <c r="D252">
        <v>186</v>
      </c>
      <c r="E252">
        <v>10</v>
      </c>
      <c r="F252">
        <v>3</v>
      </c>
      <c r="G252" s="2">
        <f>Table4[[#This Row],[gross_amount]]/Table4[[#This Row],[quantity]]</f>
        <v>150</v>
      </c>
      <c r="H252" s="2">
        <f>Table4[[#This Row],[total_amount]]/(1-Table4[[#This Row],[discount_pct]]/100)</f>
        <v>450</v>
      </c>
      <c r="I252">
        <v>10</v>
      </c>
      <c r="J252" s="2">
        <v>405</v>
      </c>
      <c r="K252" t="s">
        <v>321</v>
      </c>
      <c r="L252" s="2">
        <f>Table4[[#This Row],[total_amount]]*Table4[[#This Row],[refund_count]]</f>
        <v>0</v>
      </c>
      <c r="M252">
        <v>0</v>
      </c>
    </row>
    <row r="253" spans="1:13" x14ac:dyDescent="0.35">
      <c r="A253">
        <v>1252</v>
      </c>
      <c r="B253" s="1">
        <v>45727</v>
      </c>
      <c r="C253">
        <v>8</v>
      </c>
      <c r="D253">
        <v>92</v>
      </c>
      <c r="E253">
        <v>14</v>
      </c>
      <c r="F253">
        <v>2</v>
      </c>
      <c r="G253" s="2">
        <f>Table4[[#This Row],[gross_amount]]/Table4[[#This Row],[quantity]]</f>
        <v>200</v>
      </c>
      <c r="H253" s="2">
        <f>Table4[[#This Row],[total_amount]]/(1-Table4[[#This Row],[discount_pct]]/100)</f>
        <v>400</v>
      </c>
      <c r="I253">
        <v>10</v>
      </c>
      <c r="J253" s="2">
        <v>360</v>
      </c>
      <c r="K253" t="s">
        <v>322</v>
      </c>
      <c r="L253" s="2">
        <f>Table4[[#This Row],[total_amount]]*Table4[[#This Row],[refund_count]]</f>
        <v>0</v>
      </c>
      <c r="M253">
        <v>0</v>
      </c>
    </row>
    <row r="254" spans="1:13" x14ac:dyDescent="0.35">
      <c r="A254">
        <v>1253</v>
      </c>
      <c r="B254" s="1">
        <v>45758</v>
      </c>
      <c r="C254">
        <v>4</v>
      </c>
      <c r="D254">
        <v>151</v>
      </c>
      <c r="E254">
        <v>18</v>
      </c>
      <c r="F254">
        <v>2</v>
      </c>
      <c r="G254" s="2">
        <f>Table4[[#This Row],[gross_amount]]/Table4[[#This Row],[quantity]]</f>
        <v>170</v>
      </c>
      <c r="H254" s="2">
        <f>Table4[[#This Row],[total_amount]]/(1-Table4[[#This Row],[discount_pct]]/100)</f>
        <v>340</v>
      </c>
      <c r="I254">
        <v>5</v>
      </c>
      <c r="J254" s="2">
        <v>323</v>
      </c>
      <c r="K254" t="s">
        <v>322</v>
      </c>
      <c r="L254" s="2">
        <f>Table4[[#This Row],[total_amount]]*Table4[[#This Row],[refund_count]]</f>
        <v>0</v>
      </c>
      <c r="M254">
        <v>0</v>
      </c>
    </row>
    <row r="255" spans="1:13" x14ac:dyDescent="0.35">
      <c r="A255">
        <v>1254</v>
      </c>
      <c r="B255" s="1">
        <v>45758</v>
      </c>
      <c r="C255">
        <v>5</v>
      </c>
      <c r="D255">
        <v>21</v>
      </c>
      <c r="E255">
        <v>14</v>
      </c>
      <c r="F255">
        <v>3</v>
      </c>
      <c r="G255" s="2">
        <f>Table4[[#This Row],[gross_amount]]/Table4[[#This Row],[quantity]]</f>
        <v>150</v>
      </c>
      <c r="H255" s="2">
        <f>Table4[[#This Row],[total_amount]]/(1-Table4[[#This Row],[discount_pct]]/100)</f>
        <v>450</v>
      </c>
      <c r="I255">
        <v>10</v>
      </c>
      <c r="J255" s="2">
        <v>405</v>
      </c>
      <c r="K255" t="s">
        <v>322</v>
      </c>
      <c r="L255" s="2">
        <f>Table4[[#This Row],[total_amount]]*Table4[[#This Row],[refund_count]]</f>
        <v>0</v>
      </c>
      <c r="M255">
        <v>0</v>
      </c>
    </row>
    <row r="256" spans="1:13" x14ac:dyDescent="0.35">
      <c r="A256">
        <v>1255</v>
      </c>
      <c r="B256" s="1">
        <v>45758</v>
      </c>
      <c r="C256">
        <v>4</v>
      </c>
      <c r="D256">
        <v>38</v>
      </c>
      <c r="E256">
        <v>18</v>
      </c>
      <c r="F256">
        <v>3</v>
      </c>
      <c r="G256" s="2">
        <f>Table4[[#This Row],[gross_amount]]/Table4[[#This Row],[quantity]]</f>
        <v>150</v>
      </c>
      <c r="H256" s="2">
        <f>Table4[[#This Row],[total_amount]]/(1-Table4[[#This Row],[discount_pct]]/100)</f>
        <v>450</v>
      </c>
      <c r="I256">
        <v>20</v>
      </c>
      <c r="J256" s="2">
        <v>360</v>
      </c>
      <c r="K256" t="s">
        <v>321</v>
      </c>
      <c r="L256" s="2">
        <f>Table4[[#This Row],[total_amount]]*Table4[[#This Row],[refund_count]]</f>
        <v>0</v>
      </c>
      <c r="M256">
        <v>0</v>
      </c>
    </row>
    <row r="257" spans="1:13" x14ac:dyDescent="0.35">
      <c r="A257">
        <v>1256</v>
      </c>
      <c r="B257" s="1">
        <v>45758</v>
      </c>
      <c r="C257">
        <v>8</v>
      </c>
      <c r="D257">
        <v>225</v>
      </c>
      <c r="E257">
        <v>11</v>
      </c>
      <c r="F257">
        <v>2</v>
      </c>
      <c r="G257" s="2">
        <f>Table4[[#This Row],[gross_amount]]/Table4[[#This Row],[quantity]]</f>
        <v>160</v>
      </c>
      <c r="H257" s="2">
        <f>Table4[[#This Row],[total_amount]]/(1-Table4[[#This Row],[discount_pct]]/100)</f>
        <v>320</v>
      </c>
      <c r="I257">
        <v>15</v>
      </c>
      <c r="J257" s="2">
        <v>272</v>
      </c>
      <c r="K257" t="s">
        <v>320</v>
      </c>
      <c r="L257" s="2">
        <f>Table4[[#This Row],[total_amount]]*Table4[[#This Row],[refund_count]]</f>
        <v>0</v>
      </c>
      <c r="M257">
        <v>0</v>
      </c>
    </row>
    <row r="258" spans="1:13" x14ac:dyDescent="0.35">
      <c r="A258">
        <v>1257</v>
      </c>
      <c r="B258" s="1">
        <v>45788</v>
      </c>
      <c r="C258">
        <v>10</v>
      </c>
      <c r="D258">
        <v>19</v>
      </c>
      <c r="E258">
        <v>4</v>
      </c>
      <c r="F258">
        <v>2</v>
      </c>
      <c r="G258" s="2">
        <f>Table4[[#This Row],[gross_amount]]/Table4[[#This Row],[quantity]]</f>
        <v>170</v>
      </c>
      <c r="H258" s="2">
        <f>Table4[[#This Row],[total_amount]]/(1-Table4[[#This Row],[discount_pct]]/100)</f>
        <v>340</v>
      </c>
      <c r="I258">
        <v>5</v>
      </c>
      <c r="J258" s="2">
        <v>323</v>
      </c>
      <c r="K258" t="s">
        <v>322</v>
      </c>
      <c r="L258" s="2">
        <f>Table4[[#This Row],[total_amount]]*Table4[[#This Row],[refund_count]]</f>
        <v>0</v>
      </c>
      <c r="M258">
        <v>0</v>
      </c>
    </row>
    <row r="259" spans="1:13" x14ac:dyDescent="0.35">
      <c r="A259">
        <v>1258</v>
      </c>
      <c r="B259" s="1">
        <v>45788</v>
      </c>
      <c r="C259">
        <v>10</v>
      </c>
      <c r="D259">
        <v>198</v>
      </c>
      <c r="E259">
        <v>1</v>
      </c>
      <c r="F259">
        <v>1</v>
      </c>
      <c r="G259" s="2">
        <f>Table4[[#This Row],[gross_amount]]/Table4[[#This Row],[quantity]]</f>
        <v>160</v>
      </c>
      <c r="H259" s="2">
        <f>Table4[[#This Row],[total_amount]]/(1-Table4[[#This Row],[discount_pct]]/100)</f>
        <v>160</v>
      </c>
      <c r="I259">
        <v>0</v>
      </c>
      <c r="J259" s="2">
        <v>160</v>
      </c>
      <c r="K259" t="s">
        <v>320</v>
      </c>
      <c r="L259" s="2">
        <f>Table4[[#This Row],[total_amount]]*Table4[[#This Row],[refund_count]]</f>
        <v>0</v>
      </c>
      <c r="M259">
        <v>0</v>
      </c>
    </row>
    <row r="260" spans="1:13" x14ac:dyDescent="0.35">
      <c r="A260">
        <v>1259</v>
      </c>
      <c r="B260" s="1">
        <v>45788</v>
      </c>
      <c r="C260">
        <v>3</v>
      </c>
      <c r="D260">
        <v>71</v>
      </c>
      <c r="E260">
        <v>16</v>
      </c>
      <c r="F260">
        <v>3</v>
      </c>
      <c r="G260" s="2">
        <f>Table4[[#This Row],[gross_amount]]/Table4[[#This Row],[quantity]]</f>
        <v>120</v>
      </c>
      <c r="H260" s="2">
        <f>Table4[[#This Row],[total_amount]]/(1-Table4[[#This Row],[discount_pct]]/100)</f>
        <v>360</v>
      </c>
      <c r="I260">
        <v>0</v>
      </c>
      <c r="J260" s="2">
        <v>360</v>
      </c>
      <c r="K260" t="s">
        <v>322</v>
      </c>
      <c r="L260" s="2">
        <f>Table4[[#This Row],[total_amount]]*Table4[[#This Row],[refund_count]]</f>
        <v>0</v>
      </c>
      <c r="M260">
        <v>0</v>
      </c>
    </row>
    <row r="261" spans="1:13" x14ac:dyDescent="0.35">
      <c r="A261">
        <v>1260</v>
      </c>
      <c r="B261" s="1">
        <v>45788</v>
      </c>
      <c r="C261">
        <v>10</v>
      </c>
      <c r="D261">
        <v>209</v>
      </c>
      <c r="E261">
        <v>10</v>
      </c>
      <c r="F261">
        <v>2</v>
      </c>
      <c r="G261" s="2">
        <f>Table4[[#This Row],[gross_amount]]/Table4[[#This Row],[quantity]]</f>
        <v>170</v>
      </c>
      <c r="H261" s="2">
        <f>Table4[[#This Row],[total_amount]]/(1-Table4[[#This Row],[discount_pct]]/100)</f>
        <v>340</v>
      </c>
      <c r="I261">
        <v>5</v>
      </c>
      <c r="J261" s="2">
        <v>323</v>
      </c>
      <c r="K261" t="s">
        <v>322</v>
      </c>
      <c r="L261" s="2">
        <f>Table4[[#This Row],[total_amount]]*Table4[[#This Row],[refund_count]]</f>
        <v>0</v>
      </c>
      <c r="M261">
        <v>0</v>
      </c>
    </row>
    <row r="262" spans="1:13" x14ac:dyDescent="0.35">
      <c r="A262">
        <v>1261</v>
      </c>
      <c r="B262" s="1">
        <v>45819</v>
      </c>
      <c r="C262">
        <v>5</v>
      </c>
      <c r="D262">
        <v>207</v>
      </c>
      <c r="E262">
        <v>1</v>
      </c>
      <c r="F262">
        <v>1</v>
      </c>
      <c r="G262" s="2">
        <f>Table4[[#This Row],[gross_amount]]/Table4[[#This Row],[quantity]]</f>
        <v>200</v>
      </c>
      <c r="H262" s="2">
        <f>Table4[[#This Row],[total_amount]]/(1-Table4[[#This Row],[discount_pct]]/100)</f>
        <v>200</v>
      </c>
      <c r="I262">
        <v>15</v>
      </c>
      <c r="J262" s="2">
        <v>170</v>
      </c>
      <c r="K262" t="s">
        <v>322</v>
      </c>
      <c r="L262" s="2">
        <f>Table4[[#This Row],[total_amount]]*Table4[[#This Row],[refund_count]]</f>
        <v>0</v>
      </c>
      <c r="M262">
        <v>0</v>
      </c>
    </row>
    <row r="263" spans="1:13" x14ac:dyDescent="0.35">
      <c r="A263">
        <v>1262</v>
      </c>
      <c r="B263" s="1">
        <v>45819</v>
      </c>
      <c r="C263">
        <v>7</v>
      </c>
      <c r="D263">
        <v>81</v>
      </c>
      <c r="E263">
        <v>10</v>
      </c>
      <c r="F263">
        <v>3</v>
      </c>
      <c r="G263" s="2">
        <f>Table4[[#This Row],[gross_amount]]/Table4[[#This Row],[quantity]]</f>
        <v>160</v>
      </c>
      <c r="H263" s="2">
        <f>Table4[[#This Row],[total_amount]]/(1-Table4[[#This Row],[discount_pct]]/100)</f>
        <v>480</v>
      </c>
      <c r="I263">
        <v>5</v>
      </c>
      <c r="J263" s="2">
        <v>456</v>
      </c>
      <c r="K263" t="s">
        <v>255</v>
      </c>
      <c r="L263" s="2">
        <f>Table4[[#This Row],[total_amount]]*Table4[[#This Row],[refund_count]]</f>
        <v>0</v>
      </c>
      <c r="M263">
        <v>0</v>
      </c>
    </row>
    <row r="264" spans="1:13" x14ac:dyDescent="0.35">
      <c r="A264">
        <v>1263</v>
      </c>
      <c r="B264" s="1">
        <v>45819</v>
      </c>
      <c r="C264">
        <v>10</v>
      </c>
      <c r="D264">
        <v>197</v>
      </c>
      <c r="E264">
        <v>16</v>
      </c>
      <c r="F264">
        <v>3</v>
      </c>
      <c r="G264" s="2">
        <f>Table4[[#This Row],[gross_amount]]/Table4[[#This Row],[quantity]]</f>
        <v>120</v>
      </c>
      <c r="H264" s="2">
        <f>Table4[[#This Row],[total_amount]]/(1-Table4[[#This Row],[discount_pct]]/100)</f>
        <v>360</v>
      </c>
      <c r="I264">
        <v>0</v>
      </c>
      <c r="J264" s="2">
        <v>360</v>
      </c>
      <c r="K264" t="s">
        <v>320</v>
      </c>
      <c r="L264" s="2">
        <f>Table4[[#This Row],[total_amount]]*Table4[[#This Row],[refund_count]]</f>
        <v>0</v>
      </c>
      <c r="M264">
        <v>0</v>
      </c>
    </row>
    <row r="265" spans="1:13" x14ac:dyDescent="0.35">
      <c r="A265">
        <v>1264</v>
      </c>
      <c r="B265" s="1">
        <v>45819</v>
      </c>
      <c r="C265">
        <v>6</v>
      </c>
      <c r="D265">
        <v>175</v>
      </c>
      <c r="E265">
        <v>19</v>
      </c>
      <c r="F265">
        <v>3</v>
      </c>
      <c r="G265" s="2">
        <f>Table4[[#This Row],[gross_amount]]/Table4[[#This Row],[quantity]]</f>
        <v>160</v>
      </c>
      <c r="H265" s="2">
        <f>Table4[[#This Row],[total_amount]]/(1-Table4[[#This Row],[discount_pct]]/100)</f>
        <v>480</v>
      </c>
      <c r="I265">
        <v>5</v>
      </c>
      <c r="J265" s="2">
        <v>456</v>
      </c>
      <c r="K265" t="s">
        <v>322</v>
      </c>
      <c r="L265" s="2">
        <f>Table4[[#This Row],[total_amount]]*Table4[[#This Row],[refund_count]]</f>
        <v>0</v>
      </c>
      <c r="M265">
        <v>0</v>
      </c>
    </row>
    <row r="266" spans="1:13" x14ac:dyDescent="0.35">
      <c r="A266">
        <v>1265</v>
      </c>
      <c r="B266" s="1">
        <v>45850</v>
      </c>
      <c r="C266">
        <v>7</v>
      </c>
      <c r="D266">
        <v>193</v>
      </c>
      <c r="E266">
        <v>1</v>
      </c>
      <c r="F266">
        <v>3</v>
      </c>
      <c r="G266" s="2">
        <f>Table4[[#This Row],[gross_amount]]/Table4[[#This Row],[quantity]]</f>
        <v>140</v>
      </c>
      <c r="H266" s="2">
        <f>Table4[[#This Row],[total_amount]]/(1-Table4[[#This Row],[discount_pct]]/100)</f>
        <v>420</v>
      </c>
      <c r="I266">
        <v>10</v>
      </c>
      <c r="J266" s="2">
        <v>378</v>
      </c>
      <c r="K266" t="s">
        <v>320</v>
      </c>
      <c r="L266" s="2">
        <f>Table4[[#This Row],[total_amount]]*Table4[[#This Row],[refund_count]]</f>
        <v>0</v>
      </c>
      <c r="M266">
        <v>0</v>
      </c>
    </row>
    <row r="267" spans="1:13" x14ac:dyDescent="0.35">
      <c r="A267">
        <v>1266</v>
      </c>
      <c r="B267" s="1">
        <v>45850</v>
      </c>
      <c r="C267">
        <v>5</v>
      </c>
      <c r="D267">
        <v>184</v>
      </c>
      <c r="E267">
        <v>13</v>
      </c>
      <c r="F267">
        <v>3</v>
      </c>
      <c r="G267" s="2">
        <f>Table4[[#This Row],[gross_amount]]/Table4[[#This Row],[quantity]]</f>
        <v>200</v>
      </c>
      <c r="H267" s="2">
        <f>Table4[[#This Row],[total_amount]]/(1-Table4[[#This Row],[discount_pct]]/100)</f>
        <v>600</v>
      </c>
      <c r="I267">
        <v>0</v>
      </c>
      <c r="J267" s="2">
        <v>600</v>
      </c>
      <c r="K267" t="s">
        <v>320</v>
      </c>
      <c r="L267" s="2">
        <f>Table4[[#This Row],[total_amount]]*Table4[[#This Row],[refund_count]]</f>
        <v>0</v>
      </c>
      <c r="M267">
        <v>0</v>
      </c>
    </row>
    <row r="268" spans="1:13" x14ac:dyDescent="0.35">
      <c r="A268">
        <v>1267</v>
      </c>
      <c r="B268" s="1">
        <v>45850</v>
      </c>
      <c r="C268">
        <v>1</v>
      </c>
      <c r="D268">
        <v>176</v>
      </c>
      <c r="E268">
        <v>7</v>
      </c>
      <c r="F268">
        <v>3</v>
      </c>
      <c r="G268" s="2">
        <f>Table4[[#This Row],[gross_amount]]/Table4[[#This Row],[quantity]]</f>
        <v>200</v>
      </c>
      <c r="H268" s="2">
        <f>Table4[[#This Row],[total_amount]]/(1-Table4[[#This Row],[discount_pct]]/100)</f>
        <v>600</v>
      </c>
      <c r="I268">
        <v>0</v>
      </c>
      <c r="J268" s="2">
        <v>600</v>
      </c>
      <c r="K268" t="s">
        <v>321</v>
      </c>
      <c r="L268" s="2">
        <f>Table4[[#This Row],[total_amount]]*Table4[[#This Row],[refund_count]]</f>
        <v>0</v>
      </c>
      <c r="M268">
        <v>0</v>
      </c>
    </row>
    <row r="269" spans="1:13" x14ac:dyDescent="0.35">
      <c r="A269">
        <v>1268</v>
      </c>
      <c r="B269" s="1">
        <v>45850</v>
      </c>
      <c r="C269">
        <v>3</v>
      </c>
      <c r="D269">
        <v>21</v>
      </c>
      <c r="E269">
        <v>7</v>
      </c>
      <c r="F269">
        <v>3</v>
      </c>
      <c r="G269" s="2">
        <f>Table4[[#This Row],[gross_amount]]/Table4[[#This Row],[quantity]]</f>
        <v>150</v>
      </c>
      <c r="H269" s="2">
        <f>Table4[[#This Row],[total_amount]]/(1-Table4[[#This Row],[discount_pct]]/100)</f>
        <v>450</v>
      </c>
      <c r="I269">
        <v>0</v>
      </c>
      <c r="J269" s="2">
        <v>450</v>
      </c>
      <c r="K269" t="s">
        <v>321</v>
      </c>
      <c r="L269" s="2">
        <f>Table4[[#This Row],[total_amount]]*Table4[[#This Row],[refund_count]]</f>
        <v>0</v>
      </c>
      <c r="M269">
        <v>0</v>
      </c>
    </row>
    <row r="270" spans="1:13" x14ac:dyDescent="0.35">
      <c r="A270">
        <v>1269</v>
      </c>
      <c r="B270" s="1">
        <v>45881</v>
      </c>
      <c r="C270">
        <v>2</v>
      </c>
      <c r="D270">
        <v>155</v>
      </c>
      <c r="E270">
        <v>5</v>
      </c>
      <c r="F270">
        <v>1</v>
      </c>
      <c r="G270" s="2">
        <f>Table4[[#This Row],[gross_amount]]/Table4[[#This Row],[quantity]]</f>
        <v>200</v>
      </c>
      <c r="H270" s="2">
        <f>Table4[[#This Row],[total_amount]]/(1-Table4[[#This Row],[discount_pct]]/100)</f>
        <v>200</v>
      </c>
      <c r="I270">
        <v>0</v>
      </c>
      <c r="J270" s="2">
        <v>200</v>
      </c>
      <c r="K270" t="s">
        <v>322</v>
      </c>
      <c r="L270" s="2">
        <f>Table4[[#This Row],[total_amount]]*Table4[[#This Row],[refund_count]]</f>
        <v>0</v>
      </c>
      <c r="M270">
        <v>0</v>
      </c>
    </row>
    <row r="271" spans="1:13" x14ac:dyDescent="0.35">
      <c r="A271">
        <v>1270</v>
      </c>
      <c r="B271" s="1">
        <v>45881</v>
      </c>
      <c r="C271">
        <v>3</v>
      </c>
      <c r="D271">
        <v>126</v>
      </c>
      <c r="E271">
        <v>2</v>
      </c>
      <c r="F271">
        <v>1</v>
      </c>
      <c r="G271" s="2">
        <f>Table4[[#This Row],[gross_amount]]/Table4[[#This Row],[quantity]]</f>
        <v>200</v>
      </c>
      <c r="H271" s="2">
        <f>Table4[[#This Row],[total_amount]]/(1-Table4[[#This Row],[discount_pct]]/100)</f>
        <v>200</v>
      </c>
      <c r="I271">
        <v>0</v>
      </c>
      <c r="J271" s="2">
        <v>200</v>
      </c>
      <c r="K271" t="s">
        <v>255</v>
      </c>
      <c r="L271" s="2">
        <f>Table4[[#This Row],[total_amount]]*Table4[[#This Row],[refund_count]]</f>
        <v>0</v>
      </c>
      <c r="M271">
        <v>0</v>
      </c>
    </row>
    <row r="272" spans="1:13" x14ac:dyDescent="0.35">
      <c r="A272">
        <v>1271</v>
      </c>
      <c r="B272" s="1">
        <v>45881</v>
      </c>
      <c r="C272">
        <v>2</v>
      </c>
      <c r="D272">
        <v>166</v>
      </c>
      <c r="E272">
        <v>1</v>
      </c>
      <c r="F272">
        <v>3</v>
      </c>
      <c r="G272" s="2">
        <f>Table4[[#This Row],[gross_amount]]/Table4[[#This Row],[quantity]]</f>
        <v>200</v>
      </c>
      <c r="H272" s="2">
        <f>Table4[[#This Row],[total_amount]]/(1-Table4[[#This Row],[discount_pct]]/100)</f>
        <v>600</v>
      </c>
      <c r="I272">
        <v>0</v>
      </c>
      <c r="J272" s="2">
        <v>600</v>
      </c>
      <c r="K272" t="s">
        <v>320</v>
      </c>
      <c r="L272" s="2">
        <f>Table4[[#This Row],[total_amount]]*Table4[[#This Row],[refund_count]]</f>
        <v>0</v>
      </c>
      <c r="M272">
        <v>0</v>
      </c>
    </row>
    <row r="273" spans="1:13" x14ac:dyDescent="0.35">
      <c r="A273">
        <v>1272</v>
      </c>
      <c r="B273" s="1">
        <v>45881</v>
      </c>
      <c r="C273">
        <v>4</v>
      </c>
      <c r="D273">
        <v>215</v>
      </c>
      <c r="E273">
        <v>18</v>
      </c>
      <c r="F273">
        <v>3</v>
      </c>
      <c r="G273" s="2">
        <f>Table4[[#This Row],[gross_amount]]/Table4[[#This Row],[quantity]]</f>
        <v>160</v>
      </c>
      <c r="H273" s="2">
        <f>Table4[[#This Row],[total_amount]]/(1-Table4[[#This Row],[discount_pct]]/100)</f>
        <v>480</v>
      </c>
      <c r="I273">
        <v>15</v>
      </c>
      <c r="J273" s="2">
        <v>408</v>
      </c>
      <c r="K273" t="s">
        <v>322</v>
      </c>
      <c r="L273" s="2">
        <f>Table4[[#This Row],[total_amount]]*Table4[[#This Row],[refund_count]]</f>
        <v>0</v>
      </c>
      <c r="M273">
        <v>0</v>
      </c>
    </row>
    <row r="274" spans="1:13" x14ac:dyDescent="0.35">
      <c r="A274">
        <v>1273</v>
      </c>
      <c r="B274" s="1">
        <v>45912</v>
      </c>
      <c r="C274">
        <v>6</v>
      </c>
      <c r="D274">
        <v>166</v>
      </c>
      <c r="E274">
        <v>18</v>
      </c>
      <c r="F274">
        <v>3</v>
      </c>
      <c r="G274" s="2">
        <f>Table4[[#This Row],[gross_amount]]/Table4[[#This Row],[quantity]]</f>
        <v>133.33333333333334</v>
      </c>
      <c r="H274" s="2">
        <f>Table4[[#This Row],[total_amount]]/(1-Table4[[#This Row],[discount_pct]]/100)</f>
        <v>400</v>
      </c>
      <c r="I274">
        <v>10</v>
      </c>
      <c r="J274" s="2">
        <v>360</v>
      </c>
      <c r="K274" t="s">
        <v>320</v>
      </c>
      <c r="L274" s="2">
        <f>Table4[[#This Row],[total_amount]]*Table4[[#This Row],[refund_count]]</f>
        <v>0</v>
      </c>
      <c r="M274">
        <v>0</v>
      </c>
    </row>
    <row r="275" spans="1:13" x14ac:dyDescent="0.35">
      <c r="A275">
        <v>1274</v>
      </c>
      <c r="B275" s="1">
        <v>45912</v>
      </c>
      <c r="C275">
        <v>10</v>
      </c>
      <c r="D275">
        <v>238</v>
      </c>
      <c r="E275">
        <v>9</v>
      </c>
      <c r="F275">
        <v>2</v>
      </c>
      <c r="G275" s="2">
        <f>Table4[[#This Row],[gross_amount]]/Table4[[#This Row],[quantity]]</f>
        <v>200</v>
      </c>
      <c r="H275" s="2">
        <f>Table4[[#This Row],[total_amount]]/(1-Table4[[#This Row],[discount_pct]]/100)</f>
        <v>400</v>
      </c>
      <c r="I275">
        <v>0</v>
      </c>
      <c r="J275" s="2">
        <v>400</v>
      </c>
      <c r="K275" t="s">
        <v>321</v>
      </c>
      <c r="L275" s="2">
        <f>Table4[[#This Row],[total_amount]]*Table4[[#This Row],[refund_count]]</f>
        <v>0</v>
      </c>
      <c r="M275">
        <v>0</v>
      </c>
    </row>
    <row r="276" spans="1:13" x14ac:dyDescent="0.35">
      <c r="A276">
        <v>1275</v>
      </c>
      <c r="B276" s="1">
        <v>45912</v>
      </c>
      <c r="C276">
        <v>2</v>
      </c>
      <c r="D276">
        <v>46</v>
      </c>
      <c r="E276">
        <v>11</v>
      </c>
      <c r="F276">
        <v>2</v>
      </c>
      <c r="G276" s="2">
        <f>Table4[[#This Row],[gross_amount]]/Table4[[#This Row],[quantity]]</f>
        <v>190</v>
      </c>
      <c r="H276" s="2">
        <f>Table4[[#This Row],[total_amount]]/(1-Table4[[#This Row],[discount_pct]]/100)</f>
        <v>380</v>
      </c>
      <c r="I276">
        <v>0</v>
      </c>
      <c r="J276" s="2">
        <v>380</v>
      </c>
      <c r="K276" t="s">
        <v>322</v>
      </c>
      <c r="L276" s="2">
        <f>Table4[[#This Row],[total_amount]]*Table4[[#This Row],[refund_count]]</f>
        <v>0</v>
      </c>
      <c r="M276">
        <v>0</v>
      </c>
    </row>
    <row r="277" spans="1:13" x14ac:dyDescent="0.35">
      <c r="A277">
        <v>1276</v>
      </c>
      <c r="B277" s="1">
        <v>45912</v>
      </c>
      <c r="C277">
        <v>7</v>
      </c>
      <c r="D277">
        <v>233</v>
      </c>
      <c r="E277">
        <v>14</v>
      </c>
      <c r="F277">
        <v>3</v>
      </c>
      <c r="G277" s="2">
        <f>Table4[[#This Row],[gross_amount]]/Table4[[#This Row],[quantity]]</f>
        <v>160</v>
      </c>
      <c r="H277" s="2">
        <f>Table4[[#This Row],[total_amount]]/(1-Table4[[#This Row],[discount_pct]]/100)</f>
        <v>480</v>
      </c>
      <c r="I277">
        <v>5</v>
      </c>
      <c r="J277" s="2">
        <v>456</v>
      </c>
      <c r="K277" t="s">
        <v>320</v>
      </c>
      <c r="L277" s="2">
        <f>Table4[[#This Row],[total_amount]]*Table4[[#This Row],[refund_count]]</f>
        <v>0</v>
      </c>
      <c r="M277">
        <v>0</v>
      </c>
    </row>
    <row r="278" spans="1:13" x14ac:dyDescent="0.35">
      <c r="A278">
        <v>1277</v>
      </c>
      <c r="B278" s="1">
        <v>45942</v>
      </c>
      <c r="C278">
        <v>1</v>
      </c>
      <c r="D278">
        <v>1</v>
      </c>
      <c r="E278">
        <v>20</v>
      </c>
      <c r="F278">
        <v>1</v>
      </c>
      <c r="G278" s="2">
        <f>Table4[[#This Row],[gross_amount]]/Table4[[#This Row],[quantity]]</f>
        <v>340</v>
      </c>
      <c r="H278" s="2">
        <f>Table4[[#This Row],[total_amount]]/(1-Table4[[#This Row],[discount_pct]]/100)</f>
        <v>340</v>
      </c>
      <c r="I278">
        <v>5</v>
      </c>
      <c r="J278" s="2">
        <v>323</v>
      </c>
      <c r="K278" t="s">
        <v>321</v>
      </c>
      <c r="L278" s="2">
        <f>Table4[[#This Row],[total_amount]]*Table4[[#This Row],[refund_count]]</f>
        <v>0</v>
      </c>
      <c r="M278">
        <v>0</v>
      </c>
    </row>
    <row r="279" spans="1:13" x14ac:dyDescent="0.35">
      <c r="A279">
        <v>1278</v>
      </c>
      <c r="B279" s="1">
        <v>45942</v>
      </c>
      <c r="C279">
        <v>4</v>
      </c>
      <c r="D279">
        <v>70</v>
      </c>
      <c r="E279">
        <v>10</v>
      </c>
      <c r="F279">
        <v>3</v>
      </c>
      <c r="G279" s="2">
        <f>Table4[[#This Row],[gross_amount]]/Table4[[#This Row],[quantity]]</f>
        <v>150</v>
      </c>
      <c r="H279" s="2">
        <f>Table4[[#This Row],[total_amount]]/(1-Table4[[#This Row],[discount_pct]]/100)</f>
        <v>450</v>
      </c>
      <c r="I279">
        <v>0</v>
      </c>
      <c r="J279" s="2">
        <v>450</v>
      </c>
      <c r="K279" t="s">
        <v>320</v>
      </c>
      <c r="L279" s="2">
        <f>Table4[[#This Row],[total_amount]]*Table4[[#This Row],[refund_count]]</f>
        <v>0</v>
      </c>
      <c r="M279">
        <v>0</v>
      </c>
    </row>
    <row r="280" spans="1:13" x14ac:dyDescent="0.35">
      <c r="A280">
        <v>1279</v>
      </c>
      <c r="B280" s="1">
        <v>45942</v>
      </c>
      <c r="C280">
        <v>7</v>
      </c>
      <c r="D280">
        <v>168</v>
      </c>
      <c r="E280">
        <v>5</v>
      </c>
      <c r="F280">
        <v>1</v>
      </c>
      <c r="G280" s="2">
        <f>Table4[[#This Row],[gross_amount]]/Table4[[#This Row],[quantity]]</f>
        <v>200</v>
      </c>
      <c r="H280" s="2">
        <f>Table4[[#This Row],[total_amount]]/(1-Table4[[#This Row],[discount_pct]]/100)</f>
        <v>200</v>
      </c>
      <c r="I280">
        <v>20</v>
      </c>
      <c r="J280" s="2">
        <v>160</v>
      </c>
      <c r="K280" t="s">
        <v>322</v>
      </c>
      <c r="L280" s="2">
        <f>Table4[[#This Row],[total_amount]]*Table4[[#This Row],[refund_count]]</f>
        <v>0</v>
      </c>
      <c r="M280">
        <v>0</v>
      </c>
    </row>
    <row r="281" spans="1:13" x14ac:dyDescent="0.35">
      <c r="A281">
        <v>1280</v>
      </c>
      <c r="B281" s="1">
        <v>45942</v>
      </c>
      <c r="C281">
        <v>5</v>
      </c>
      <c r="D281">
        <v>210</v>
      </c>
      <c r="E281">
        <v>16</v>
      </c>
      <c r="F281">
        <v>2</v>
      </c>
      <c r="G281" s="2">
        <f>Table4[[#This Row],[gross_amount]]/Table4[[#This Row],[quantity]]</f>
        <v>150</v>
      </c>
      <c r="H281" s="2">
        <f>Table4[[#This Row],[total_amount]]/(1-Table4[[#This Row],[discount_pct]]/100)</f>
        <v>300</v>
      </c>
      <c r="I281">
        <v>0</v>
      </c>
      <c r="J281" s="2">
        <v>300</v>
      </c>
      <c r="K281" t="s">
        <v>321</v>
      </c>
      <c r="L281" s="2">
        <f>Table4[[#This Row],[total_amount]]*Table4[[#This Row],[refund_count]]</f>
        <v>0</v>
      </c>
      <c r="M281">
        <v>0</v>
      </c>
    </row>
    <row r="282" spans="1:13" x14ac:dyDescent="0.35">
      <c r="A282">
        <v>1281</v>
      </c>
      <c r="B282" s="1">
        <v>45973</v>
      </c>
      <c r="C282">
        <v>5</v>
      </c>
      <c r="D282">
        <v>236</v>
      </c>
      <c r="E282">
        <v>20</v>
      </c>
      <c r="F282">
        <v>2</v>
      </c>
      <c r="G282" s="2">
        <f>Table4[[#This Row],[gross_amount]]/Table4[[#This Row],[quantity]]</f>
        <v>170</v>
      </c>
      <c r="H282" s="2">
        <f>Table4[[#This Row],[total_amount]]/(1-Table4[[#This Row],[discount_pct]]/100)</f>
        <v>340</v>
      </c>
      <c r="I282">
        <v>20</v>
      </c>
      <c r="J282" s="2">
        <v>272</v>
      </c>
      <c r="K282" t="s">
        <v>321</v>
      </c>
      <c r="L282" s="2">
        <f>Table4[[#This Row],[total_amount]]*Table4[[#This Row],[refund_count]]</f>
        <v>0</v>
      </c>
      <c r="M282">
        <v>0</v>
      </c>
    </row>
    <row r="283" spans="1:13" x14ac:dyDescent="0.35">
      <c r="A283">
        <v>1282</v>
      </c>
      <c r="B283" s="1">
        <v>45973</v>
      </c>
      <c r="C283">
        <v>3</v>
      </c>
      <c r="D283">
        <v>227</v>
      </c>
      <c r="E283">
        <v>19</v>
      </c>
      <c r="F283">
        <v>1</v>
      </c>
      <c r="G283" s="2">
        <f>Table4[[#This Row],[gross_amount]]/Table4[[#This Row],[quantity]]</f>
        <v>240</v>
      </c>
      <c r="H283" s="2">
        <f>Table4[[#This Row],[total_amount]]/(1-Table4[[#This Row],[discount_pct]]/100)</f>
        <v>240</v>
      </c>
      <c r="I283">
        <v>10</v>
      </c>
      <c r="J283" s="2">
        <v>216</v>
      </c>
      <c r="K283" t="s">
        <v>322</v>
      </c>
      <c r="L283" s="2">
        <f>Table4[[#This Row],[total_amount]]*Table4[[#This Row],[refund_count]]</f>
        <v>0</v>
      </c>
      <c r="M283">
        <v>0</v>
      </c>
    </row>
    <row r="284" spans="1:13" x14ac:dyDescent="0.35">
      <c r="A284">
        <v>1283</v>
      </c>
      <c r="B284" s="1">
        <v>45973</v>
      </c>
      <c r="C284">
        <v>9</v>
      </c>
      <c r="D284">
        <v>138</v>
      </c>
      <c r="E284">
        <v>3</v>
      </c>
      <c r="F284">
        <v>3</v>
      </c>
      <c r="G284" s="2">
        <f>Table4[[#This Row],[gross_amount]]/Table4[[#This Row],[quantity]]</f>
        <v>160</v>
      </c>
      <c r="H284" s="2">
        <f>Table4[[#This Row],[total_amount]]/(1-Table4[[#This Row],[discount_pct]]/100)</f>
        <v>480</v>
      </c>
      <c r="I284">
        <v>5</v>
      </c>
      <c r="J284" s="2">
        <v>456</v>
      </c>
      <c r="K284" t="s">
        <v>322</v>
      </c>
      <c r="L284" s="2">
        <f>Table4[[#This Row],[total_amount]]*Table4[[#This Row],[refund_count]]</f>
        <v>0</v>
      </c>
      <c r="M284">
        <v>0</v>
      </c>
    </row>
    <row r="285" spans="1:13" x14ac:dyDescent="0.35">
      <c r="A285">
        <v>1284</v>
      </c>
      <c r="B285" s="1">
        <v>45973</v>
      </c>
      <c r="C285">
        <v>1</v>
      </c>
      <c r="D285">
        <v>158</v>
      </c>
      <c r="E285">
        <v>6</v>
      </c>
      <c r="F285">
        <v>3</v>
      </c>
      <c r="G285" s="2">
        <f>Table4[[#This Row],[gross_amount]]/Table4[[#This Row],[quantity]]</f>
        <v>113.33333333333333</v>
      </c>
      <c r="H285" s="2">
        <f>Table4[[#This Row],[total_amount]]/(1-Table4[[#This Row],[discount_pct]]/100)</f>
        <v>340</v>
      </c>
      <c r="I285">
        <v>10</v>
      </c>
      <c r="J285" s="2">
        <v>306</v>
      </c>
      <c r="K285" t="s">
        <v>255</v>
      </c>
      <c r="L285" s="2">
        <f>Table4[[#This Row],[total_amount]]*Table4[[#This Row],[refund_count]]</f>
        <v>0</v>
      </c>
      <c r="M285">
        <v>0</v>
      </c>
    </row>
    <row r="286" spans="1:13" x14ac:dyDescent="0.35">
      <c r="A286">
        <v>1285</v>
      </c>
      <c r="B286" s="1">
        <v>46003</v>
      </c>
      <c r="C286">
        <v>3</v>
      </c>
      <c r="D286">
        <v>9</v>
      </c>
      <c r="E286">
        <v>16</v>
      </c>
      <c r="F286">
        <v>2</v>
      </c>
      <c r="G286" s="2">
        <f>Table4[[#This Row],[gross_amount]]/Table4[[#This Row],[quantity]]</f>
        <v>150</v>
      </c>
      <c r="H286" s="2">
        <f>Table4[[#This Row],[total_amount]]/(1-Table4[[#This Row],[discount_pct]]/100)</f>
        <v>300</v>
      </c>
      <c r="I286">
        <v>0</v>
      </c>
      <c r="J286" s="2">
        <v>300</v>
      </c>
      <c r="K286" t="s">
        <v>320</v>
      </c>
      <c r="L286" s="2">
        <f>Table4[[#This Row],[total_amount]]*Table4[[#This Row],[refund_count]]</f>
        <v>0</v>
      </c>
      <c r="M286">
        <v>0</v>
      </c>
    </row>
    <row r="287" spans="1:13" x14ac:dyDescent="0.35">
      <c r="A287">
        <v>1286</v>
      </c>
      <c r="B287" s="1">
        <v>46003</v>
      </c>
      <c r="C287">
        <v>3</v>
      </c>
      <c r="D287">
        <v>206</v>
      </c>
      <c r="E287">
        <v>4</v>
      </c>
      <c r="F287">
        <v>2</v>
      </c>
      <c r="G287" s="2">
        <f>Table4[[#This Row],[gross_amount]]/Table4[[#This Row],[quantity]]</f>
        <v>180</v>
      </c>
      <c r="H287" s="2">
        <f>Table4[[#This Row],[total_amount]]/(1-Table4[[#This Row],[discount_pct]]/100)</f>
        <v>360</v>
      </c>
      <c r="I287">
        <v>10</v>
      </c>
      <c r="J287" s="2">
        <v>324</v>
      </c>
      <c r="K287" t="s">
        <v>322</v>
      </c>
      <c r="L287" s="2">
        <f>Table4[[#This Row],[total_amount]]*Table4[[#This Row],[refund_count]]</f>
        <v>0</v>
      </c>
      <c r="M287">
        <v>0</v>
      </c>
    </row>
    <row r="288" spans="1:13" x14ac:dyDescent="0.35">
      <c r="A288">
        <v>1287</v>
      </c>
      <c r="B288" s="1">
        <v>46003</v>
      </c>
      <c r="C288">
        <v>6</v>
      </c>
      <c r="D288">
        <v>4</v>
      </c>
      <c r="E288">
        <v>19</v>
      </c>
      <c r="F288">
        <v>1</v>
      </c>
      <c r="G288" s="2">
        <f>Table4[[#This Row],[gross_amount]]/Table4[[#This Row],[quantity]]</f>
        <v>240</v>
      </c>
      <c r="H288" s="2">
        <f>Table4[[#This Row],[total_amount]]/(1-Table4[[#This Row],[discount_pct]]/100)</f>
        <v>240</v>
      </c>
      <c r="I288">
        <v>0</v>
      </c>
      <c r="J288" s="2">
        <v>240</v>
      </c>
      <c r="K288" t="s">
        <v>320</v>
      </c>
      <c r="L288" s="2">
        <f>Table4[[#This Row],[total_amount]]*Table4[[#This Row],[refund_count]]</f>
        <v>0</v>
      </c>
      <c r="M288">
        <v>0</v>
      </c>
    </row>
    <row r="289" spans="1:13" x14ac:dyDescent="0.35">
      <c r="A289">
        <v>1288</v>
      </c>
      <c r="B289" s="1">
        <v>46003</v>
      </c>
      <c r="C289">
        <v>4</v>
      </c>
      <c r="D289">
        <v>211</v>
      </c>
      <c r="E289">
        <v>15</v>
      </c>
      <c r="F289">
        <v>3</v>
      </c>
      <c r="G289" s="2">
        <f>Table4[[#This Row],[gross_amount]]/Table4[[#This Row],[quantity]]</f>
        <v>160</v>
      </c>
      <c r="H289" s="2">
        <f>Table4[[#This Row],[total_amount]]/(1-Table4[[#This Row],[discount_pct]]/100)</f>
        <v>480</v>
      </c>
      <c r="I289">
        <v>20</v>
      </c>
      <c r="J289" s="2">
        <v>384</v>
      </c>
      <c r="K289" t="s">
        <v>322</v>
      </c>
      <c r="L289" s="2">
        <f>Table4[[#This Row],[total_amount]]*Table4[[#This Row],[refund_count]]</f>
        <v>0</v>
      </c>
      <c r="M289">
        <v>0</v>
      </c>
    </row>
    <row r="290" spans="1:13" x14ac:dyDescent="0.35">
      <c r="A290">
        <v>1289</v>
      </c>
      <c r="B290" s="1">
        <v>45670</v>
      </c>
      <c r="C290">
        <v>9</v>
      </c>
      <c r="D290">
        <v>46</v>
      </c>
      <c r="E290">
        <v>17</v>
      </c>
      <c r="F290">
        <v>2</v>
      </c>
      <c r="G290" s="2">
        <f>Table4[[#This Row],[gross_amount]]/Table4[[#This Row],[quantity]]</f>
        <v>150</v>
      </c>
      <c r="H290" s="2">
        <f>Table4[[#This Row],[total_amount]]/(1-Table4[[#This Row],[discount_pct]]/100)</f>
        <v>300</v>
      </c>
      <c r="I290">
        <v>0</v>
      </c>
      <c r="J290" s="2">
        <v>300</v>
      </c>
      <c r="K290" t="s">
        <v>322</v>
      </c>
      <c r="L290" s="2">
        <f>Table4[[#This Row],[total_amount]]*Table4[[#This Row],[refund_count]]</f>
        <v>0</v>
      </c>
      <c r="M290">
        <v>0</v>
      </c>
    </row>
    <row r="291" spans="1:13" x14ac:dyDescent="0.35">
      <c r="A291">
        <v>1290</v>
      </c>
      <c r="B291" s="1">
        <v>45670</v>
      </c>
      <c r="C291">
        <v>10</v>
      </c>
      <c r="D291">
        <v>73</v>
      </c>
      <c r="E291">
        <v>11</v>
      </c>
      <c r="F291">
        <v>1</v>
      </c>
      <c r="G291" s="2">
        <f>Table4[[#This Row],[gross_amount]]/Table4[[#This Row],[quantity]]</f>
        <v>200</v>
      </c>
      <c r="H291" s="2">
        <f>Table4[[#This Row],[total_amount]]/(1-Table4[[#This Row],[discount_pct]]/100)</f>
        <v>200</v>
      </c>
      <c r="I291">
        <v>0</v>
      </c>
      <c r="J291" s="2">
        <v>200</v>
      </c>
      <c r="K291" t="s">
        <v>320</v>
      </c>
      <c r="L291" s="2">
        <f>Table4[[#This Row],[total_amount]]*Table4[[#This Row],[refund_count]]</f>
        <v>0</v>
      </c>
      <c r="M291">
        <v>0</v>
      </c>
    </row>
    <row r="292" spans="1:13" x14ac:dyDescent="0.35">
      <c r="A292">
        <v>1291</v>
      </c>
      <c r="B292" s="1">
        <v>45670</v>
      </c>
      <c r="C292">
        <v>10</v>
      </c>
      <c r="D292">
        <v>247</v>
      </c>
      <c r="E292">
        <v>1</v>
      </c>
      <c r="F292">
        <v>2</v>
      </c>
      <c r="G292" s="2">
        <f>Table4[[#This Row],[gross_amount]]/Table4[[#This Row],[quantity]]</f>
        <v>160</v>
      </c>
      <c r="H292" s="2">
        <f>Table4[[#This Row],[total_amount]]/(1-Table4[[#This Row],[discount_pct]]/100)</f>
        <v>320</v>
      </c>
      <c r="I292">
        <v>15</v>
      </c>
      <c r="J292" s="2">
        <v>272</v>
      </c>
      <c r="K292" t="s">
        <v>320</v>
      </c>
      <c r="L292" s="2">
        <f>Table4[[#This Row],[total_amount]]*Table4[[#This Row],[refund_count]]</f>
        <v>0</v>
      </c>
      <c r="M292">
        <v>0</v>
      </c>
    </row>
    <row r="293" spans="1:13" x14ac:dyDescent="0.35">
      <c r="A293">
        <v>1292</v>
      </c>
      <c r="B293" s="1">
        <v>45670</v>
      </c>
      <c r="C293">
        <v>7</v>
      </c>
      <c r="D293">
        <v>161</v>
      </c>
      <c r="E293">
        <v>9</v>
      </c>
      <c r="F293">
        <v>1</v>
      </c>
      <c r="G293" s="2">
        <f>Table4[[#This Row],[gross_amount]]/Table4[[#This Row],[quantity]]</f>
        <v>200</v>
      </c>
      <c r="H293" s="2">
        <f>Table4[[#This Row],[total_amount]]/(1-Table4[[#This Row],[discount_pct]]/100)</f>
        <v>200</v>
      </c>
      <c r="I293">
        <v>15</v>
      </c>
      <c r="J293" s="2">
        <v>170</v>
      </c>
      <c r="K293" t="s">
        <v>321</v>
      </c>
      <c r="L293" s="2">
        <f>Table4[[#This Row],[total_amount]]*Table4[[#This Row],[refund_count]]</f>
        <v>0</v>
      </c>
      <c r="M293">
        <v>0</v>
      </c>
    </row>
    <row r="294" spans="1:13" x14ac:dyDescent="0.35">
      <c r="A294">
        <v>1293</v>
      </c>
      <c r="B294" s="1">
        <v>45701</v>
      </c>
      <c r="C294">
        <v>1</v>
      </c>
      <c r="D294">
        <v>225</v>
      </c>
      <c r="E294">
        <v>12</v>
      </c>
      <c r="F294">
        <v>2</v>
      </c>
      <c r="G294" s="2">
        <f>Table4[[#This Row],[gross_amount]]/Table4[[#This Row],[quantity]]</f>
        <v>190</v>
      </c>
      <c r="H294" s="2">
        <f>Table4[[#This Row],[total_amount]]/(1-Table4[[#This Row],[discount_pct]]/100)</f>
        <v>380</v>
      </c>
      <c r="I294">
        <v>0</v>
      </c>
      <c r="J294" s="2">
        <v>380</v>
      </c>
      <c r="K294" t="s">
        <v>320</v>
      </c>
      <c r="L294" s="2">
        <f>Table4[[#This Row],[total_amount]]*Table4[[#This Row],[refund_count]]</f>
        <v>0</v>
      </c>
      <c r="M294">
        <v>0</v>
      </c>
    </row>
    <row r="295" spans="1:13" x14ac:dyDescent="0.35">
      <c r="A295">
        <v>1294</v>
      </c>
      <c r="B295" s="1">
        <v>45701</v>
      </c>
      <c r="C295">
        <v>9</v>
      </c>
      <c r="D295">
        <v>21</v>
      </c>
      <c r="E295">
        <v>11</v>
      </c>
      <c r="F295">
        <v>1</v>
      </c>
      <c r="G295" s="2">
        <f>Table4[[#This Row],[gross_amount]]/Table4[[#This Row],[quantity]]</f>
        <v>240</v>
      </c>
      <c r="H295" s="2">
        <f>Table4[[#This Row],[total_amount]]/(1-Table4[[#This Row],[discount_pct]]/100)</f>
        <v>240</v>
      </c>
      <c r="I295">
        <v>10</v>
      </c>
      <c r="J295" s="2">
        <v>216</v>
      </c>
      <c r="K295" t="s">
        <v>255</v>
      </c>
      <c r="L295" s="2">
        <f>Table4[[#This Row],[total_amount]]*Table4[[#This Row],[refund_count]]</f>
        <v>0</v>
      </c>
      <c r="M295">
        <v>0</v>
      </c>
    </row>
    <row r="296" spans="1:13" x14ac:dyDescent="0.35">
      <c r="A296">
        <v>1295</v>
      </c>
      <c r="B296" s="1">
        <v>45701</v>
      </c>
      <c r="C296">
        <v>1</v>
      </c>
      <c r="D296">
        <v>180</v>
      </c>
      <c r="E296">
        <v>2</v>
      </c>
      <c r="F296">
        <v>3</v>
      </c>
      <c r="G296" s="2">
        <f>Table4[[#This Row],[gross_amount]]/Table4[[#This Row],[quantity]]</f>
        <v>160</v>
      </c>
      <c r="H296" s="2">
        <f>Table4[[#This Row],[total_amount]]/(1-Table4[[#This Row],[discount_pct]]/100)</f>
        <v>480</v>
      </c>
      <c r="I296">
        <v>5</v>
      </c>
      <c r="J296" s="2">
        <v>456</v>
      </c>
      <c r="K296" t="s">
        <v>322</v>
      </c>
      <c r="L296" s="2">
        <f>Table4[[#This Row],[total_amount]]*Table4[[#This Row],[refund_count]]</f>
        <v>0</v>
      </c>
      <c r="M296">
        <v>0</v>
      </c>
    </row>
    <row r="297" spans="1:13" x14ac:dyDescent="0.35">
      <c r="A297">
        <v>1296</v>
      </c>
      <c r="B297" s="1">
        <v>45701</v>
      </c>
      <c r="C297">
        <v>9</v>
      </c>
      <c r="D297">
        <v>63</v>
      </c>
      <c r="E297">
        <v>6</v>
      </c>
      <c r="F297">
        <v>2</v>
      </c>
      <c r="G297" s="2">
        <f>Table4[[#This Row],[gross_amount]]/Table4[[#This Row],[quantity]]</f>
        <v>170</v>
      </c>
      <c r="H297" s="2">
        <f>Table4[[#This Row],[total_amount]]/(1-Table4[[#This Row],[discount_pct]]/100)</f>
        <v>340</v>
      </c>
      <c r="I297">
        <v>5</v>
      </c>
      <c r="J297" s="2">
        <v>323</v>
      </c>
      <c r="K297" t="s">
        <v>321</v>
      </c>
      <c r="L297" s="2">
        <f>Table4[[#This Row],[total_amount]]*Table4[[#This Row],[refund_count]]</f>
        <v>0</v>
      </c>
      <c r="M297">
        <v>0</v>
      </c>
    </row>
    <row r="298" spans="1:13" x14ac:dyDescent="0.35">
      <c r="A298">
        <v>1297</v>
      </c>
      <c r="B298" s="1">
        <v>45729</v>
      </c>
      <c r="C298">
        <v>6</v>
      </c>
      <c r="D298">
        <v>204</v>
      </c>
      <c r="E298">
        <v>19</v>
      </c>
      <c r="F298">
        <v>3</v>
      </c>
      <c r="G298" s="2">
        <f>Table4[[#This Row],[gross_amount]]/Table4[[#This Row],[quantity]]</f>
        <v>160</v>
      </c>
      <c r="H298" s="2">
        <f>Table4[[#This Row],[total_amount]]/(1-Table4[[#This Row],[discount_pct]]/100)</f>
        <v>480</v>
      </c>
      <c r="I298">
        <v>20</v>
      </c>
      <c r="J298" s="2">
        <v>384</v>
      </c>
      <c r="K298" t="s">
        <v>320</v>
      </c>
      <c r="L298" s="2">
        <f>Table4[[#This Row],[total_amount]]*Table4[[#This Row],[refund_count]]</f>
        <v>0</v>
      </c>
      <c r="M298">
        <v>0</v>
      </c>
    </row>
    <row r="299" spans="1:13" x14ac:dyDescent="0.35">
      <c r="A299">
        <v>1298</v>
      </c>
      <c r="B299" s="1">
        <v>45729</v>
      </c>
      <c r="C299">
        <v>9</v>
      </c>
      <c r="D299">
        <v>1</v>
      </c>
      <c r="E299">
        <v>18</v>
      </c>
      <c r="F299">
        <v>3</v>
      </c>
      <c r="G299" s="2">
        <f>Table4[[#This Row],[gross_amount]]/Table4[[#This Row],[quantity]]</f>
        <v>150</v>
      </c>
      <c r="H299" s="2">
        <f>Table4[[#This Row],[total_amount]]/(1-Table4[[#This Row],[discount_pct]]/100)</f>
        <v>450</v>
      </c>
      <c r="I299">
        <v>20</v>
      </c>
      <c r="J299" s="2">
        <v>360</v>
      </c>
      <c r="K299" t="s">
        <v>320</v>
      </c>
      <c r="L299" s="2">
        <f>Table4[[#This Row],[total_amount]]*Table4[[#This Row],[refund_count]]</f>
        <v>0</v>
      </c>
      <c r="M299">
        <v>0</v>
      </c>
    </row>
    <row r="300" spans="1:13" x14ac:dyDescent="0.35">
      <c r="A300">
        <v>1299</v>
      </c>
      <c r="B300" s="1">
        <v>45729</v>
      </c>
      <c r="C300">
        <v>4</v>
      </c>
      <c r="D300">
        <v>150</v>
      </c>
      <c r="E300">
        <v>20</v>
      </c>
      <c r="F300">
        <v>2</v>
      </c>
      <c r="G300" s="2">
        <f>Table4[[#This Row],[gross_amount]]/Table4[[#This Row],[quantity]]</f>
        <v>200</v>
      </c>
      <c r="H300" s="2">
        <f>Table4[[#This Row],[total_amount]]/(1-Table4[[#This Row],[discount_pct]]/100)</f>
        <v>400</v>
      </c>
      <c r="I300">
        <v>10</v>
      </c>
      <c r="J300" s="2">
        <v>360</v>
      </c>
      <c r="K300" t="s">
        <v>322</v>
      </c>
      <c r="L300" s="2">
        <f>Table4[[#This Row],[total_amount]]*Table4[[#This Row],[refund_count]]</f>
        <v>0</v>
      </c>
      <c r="M300">
        <v>0</v>
      </c>
    </row>
    <row r="301" spans="1:13" x14ac:dyDescent="0.35">
      <c r="A301">
        <v>1300</v>
      </c>
      <c r="B301" s="1">
        <v>45729</v>
      </c>
      <c r="C301">
        <v>3</v>
      </c>
      <c r="D301">
        <v>125</v>
      </c>
      <c r="E301">
        <v>8</v>
      </c>
      <c r="F301">
        <v>3</v>
      </c>
      <c r="G301" s="2">
        <f>Table4[[#This Row],[gross_amount]]/Table4[[#This Row],[quantity]]</f>
        <v>150</v>
      </c>
      <c r="H301" s="2">
        <f>Table4[[#This Row],[total_amount]]/(1-Table4[[#This Row],[discount_pct]]/100)</f>
        <v>450</v>
      </c>
      <c r="I301">
        <v>0</v>
      </c>
      <c r="J301" s="2">
        <v>450</v>
      </c>
      <c r="K301" t="s">
        <v>321</v>
      </c>
      <c r="L301" s="2">
        <f>Table4[[#This Row],[total_amount]]*Table4[[#This Row],[refund_count]]</f>
        <v>0</v>
      </c>
      <c r="M301">
        <v>0</v>
      </c>
    </row>
    <row r="302" spans="1:13" x14ac:dyDescent="0.35">
      <c r="A302">
        <v>1301</v>
      </c>
      <c r="B302" s="1">
        <v>45760</v>
      </c>
      <c r="C302">
        <v>3</v>
      </c>
      <c r="D302">
        <v>99</v>
      </c>
      <c r="E302">
        <v>17</v>
      </c>
      <c r="F302">
        <v>2</v>
      </c>
      <c r="G302" s="2">
        <f>Table4[[#This Row],[gross_amount]]/Table4[[#This Row],[quantity]]</f>
        <v>150</v>
      </c>
      <c r="H302" s="2">
        <f>Table4[[#This Row],[total_amount]]/(1-Table4[[#This Row],[discount_pct]]/100)</f>
        <v>300</v>
      </c>
      <c r="I302">
        <v>0</v>
      </c>
      <c r="J302" s="2">
        <v>300</v>
      </c>
      <c r="K302" t="s">
        <v>322</v>
      </c>
      <c r="L302" s="2">
        <f>Table4[[#This Row],[total_amount]]*Table4[[#This Row],[refund_count]]</f>
        <v>0</v>
      </c>
      <c r="M302">
        <v>0</v>
      </c>
    </row>
    <row r="303" spans="1:13" x14ac:dyDescent="0.35">
      <c r="A303">
        <v>1302</v>
      </c>
      <c r="B303" s="1">
        <v>45760</v>
      </c>
      <c r="C303">
        <v>2</v>
      </c>
      <c r="D303">
        <v>222</v>
      </c>
      <c r="E303">
        <v>12</v>
      </c>
      <c r="F303">
        <v>2</v>
      </c>
      <c r="G303" s="2">
        <f>Table4[[#This Row],[gross_amount]]/Table4[[#This Row],[quantity]]</f>
        <v>180</v>
      </c>
      <c r="H303" s="2">
        <f>Table4[[#This Row],[total_amount]]/(1-Table4[[#This Row],[discount_pct]]/100)</f>
        <v>360</v>
      </c>
      <c r="I303">
        <v>10</v>
      </c>
      <c r="J303" s="2">
        <v>324</v>
      </c>
      <c r="K303" t="s">
        <v>322</v>
      </c>
      <c r="L303" s="2">
        <f>Table4[[#This Row],[total_amount]]*Table4[[#This Row],[refund_count]]</f>
        <v>0</v>
      </c>
      <c r="M303">
        <v>0</v>
      </c>
    </row>
    <row r="304" spans="1:13" x14ac:dyDescent="0.35">
      <c r="A304">
        <v>1303</v>
      </c>
      <c r="B304" s="1">
        <v>45760</v>
      </c>
      <c r="C304">
        <v>6</v>
      </c>
      <c r="D304">
        <v>82</v>
      </c>
      <c r="E304">
        <v>6</v>
      </c>
      <c r="F304">
        <v>3</v>
      </c>
      <c r="G304" s="2">
        <f>Table4[[#This Row],[gross_amount]]/Table4[[#This Row],[quantity]]</f>
        <v>120</v>
      </c>
      <c r="H304" s="2">
        <f>Table4[[#This Row],[total_amount]]/(1-Table4[[#This Row],[discount_pct]]/100)</f>
        <v>360</v>
      </c>
      <c r="I304">
        <v>0</v>
      </c>
      <c r="J304" s="2">
        <v>360</v>
      </c>
      <c r="K304" t="s">
        <v>322</v>
      </c>
      <c r="L304" s="2">
        <f>Table4[[#This Row],[total_amount]]*Table4[[#This Row],[refund_count]]</f>
        <v>0</v>
      </c>
      <c r="M304">
        <v>0</v>
      </c>
    </row>
    <row r="305" spans="1:13" x14ac:dyDescent="0.35">
      <c r="A305">
        <v>1304</v>
      </c>
      <c r="B305" s="1">
        <v>45760</v>
      </c>
      <c r="C305">
        <v>6</v>
      </c>
      <c r="D305">
        <v>182</v>
      </c>
      <c r="E305">
        <v>6</v>
      </c>
      <c r="F305">
        <v>3</v>
      </c>
      <c r="G305" s="2">
        <f>Table4[[#This Row],[gross_amount]]/Table4[[#This Row],[quantity]]</f>
        <v>113.33333333333333</v>
      </c>
      <c r="H305" s="2">
        <f>Table4[[#This Row],[total_amount]]/(1-Table4[[#This Row],[discount_pct]]/100)</f>
        <v>340</v>
      </c>
      <c r="I305">
        <v>10</v>
      </c>
      <c r="J305" s="2">
        <v>306</v>
      </c>
      <c r="K305" t="s">
        <v>320</v>
      </c>
      <c r="L305" s="2">
        <f>Table4[[#This Row],[total_amount]]*Table4[[#This Row],[refund_count]]</f>
        <v>0</v>
      </c>
      <c r="M305">
        <v>0</v>
      </c>
    </row>
    <row r="306" spans="1:13" x14ac:dyDescent="0.35">
      <c r="A306">
        <v>1305</v>
      </c>
      <c r="B306" s="1">
        <v>45790</v>
      </c>
      <c r="C306">
        <v>1</v>
      </c>
      <c r="D306">
        <v>12</v>
      </c>
      <c r="E306">
        <v>16</v>
      </c>
      <c r="F306">
        <v>2</v>
      </c>
      <c r="G306" s="2">
        <f>Table4[[#This Row],[gross_amount]]/Table4[[#This Row],[quantity]]</f>
        <v>180</v>
      </c>
      <c r="H306" s="2">
        <f>Table4[[#This Row],[total_amount]]/(1-Table4[[#This Row],[discount_pct]]/100)</f>
        <v>360</v>
      </c>
      <c r="I306">
        <v>5</v>
      </c>
      <c r="J306" s="2">
        <v>342</v>
      </c>
      <c r="K306" t="s">
        <v>321</v>
      </c>
      <c r="L306" s="2">
        <f>Table4[[#This Row],[total_amount]]*Table4[[#This Row],[refund_count]]</f>
        <v>0</v>
      </c>
      <c r="M306">
        <v>0</v>
      </c>
    </row>
    <row r="307" spans="1:13" x14ac:dyDescent="0.35">
      <c r="A307">
        <v>1306</v>
      </c>
      <c r="B307" s="1">
        <v>45790</v>
      </c>
      <c r="C307">
        <v>5</v>
      </c>
      <c r="D307">
        <v>108</v>
      </c>
      <c r="E307">
        <v>16</v>
      </c>
      <c r="F307">
        <v>2</v>
      </c>
      <c r="G307" s="2">
        <f>Table4[[#This Row],[gross_amount]]/Table4[[#This Row],[quantity]]</f>
        <v>150</v>
      </c>
      <c r="H307" s="2">
        <f>Table4[[#This Row],[total_amount]]/(1-Table4[[#This Row],[discount_pct]]/100)</f>
        <v>300</v>
      </c>
      <c r="I307">
        <v>10</v>
      </c>
      <c r="J307" s="2">
        <v>270</v>
      </c>
      <c r="K307" t="s">
        <v>322</v>
      </c>
      <c r="L307" s="2">
        <f>Table4[[#This Row],[total_amount]]*Table4[[#This Row],[refund_count]]</f>
        <v>0</v>
      </c>
      <c r="M307">
        <v>0</v>
      </c>
    </row>
    <row r="308" spans="1:13" x14ac:dyDescent="0.35">
      <c r="A308">
        <v>1307</v>
      </c>
      <c r="B308" s="1">
        <v>45790</v>
      </c>
      <c r="C308">
        <v>9</v>
      </c>
      <c r="D308">
        <v>11</v>
      </c>
      <c r="E308">
        <v>2</v>
      </c>
      <c r="F308">
        <v>3</v>
      </c>
      <c r="G308" s="2">
        <f>Table4[[#This Row],[gross_amount]]/Table4[[#This Row],[quantity]]</f>
        <v>120</v>
      </c>
      <c r="H308" s="2">
        <f>Table4[[#This Row],[total_amount]]/(1-Table4[[#This Row],[discount_pct]]/100)</f>
        <v>360</v>
      </c>
      <c r="I308">
        <v>0</v>
      </c>
      <c r="J308" s="2">
        <v>360</v>
      </c>
      <c r="K308" t="s">
        <v>320</v>
      </c>
      <c r="L308" s="2">
        <f>Table4[[#This Row],[total_amount]]*Table4[[#This Row],[refund_count]]</f>
        <v>0</v>
      </c>
      <c r="M308">
        <v>0</v>
      </c>
    </row>
    <row r="309" spans="1:13" x14ac:dyDescent="0.35">
      <c r="A309">
        <v>1308</v>
      </c>
      <c r="B309" s="1">
        <v>45790</v>
      </c>
      <c r="C309">
        <v>10</v>
      </c>
      <c r="D309">
        <v>101</v>
      </c>
      <c r="E309">
        <v>19</v>
      </c>
      <c r="F309">
        <v>3</v>
      </c>
      <c r="G309" s="2">
        <f>Table4[[#This Row],[gross_amount]]/Table4[[#This Row],[quantity]]</f>
        <v>180</v>
      </c>
      <c r="H309" s="2">
        <f>Table4[[#This Row],[total_amount]]/(1-Table4[[#This Row],[discount_pct]]/100)</f>
        <v>540</v>
      </c>
      <c r="I309">
        <v>0</v>
      </c>
      <c r="J309" s="2">
        <v>540</v>
      </c>
      <c r="K309" t="s">
        <v>322</v>
      </c>
      <c r="L309" s="2">
        <f>Table4[[#This Row],[total_amount]]*Table4[[#This Row],[refund_count]]</f>
        <v>0</v>
      </c>
      <c r="M309">
        <v>0</v>
      </c>
    </row>
    <row r="310" spans="1:13" x14ac:dyDescent="0.35">
      <c r="A310">
        <v>1309</v>
      </c>
      <c r="B310" s="1">
        <v>45821</v>
      </c>
      <c r="C310">
        <v>1</v>
      </c>
      <c r="D310">
        <v>100</v>
      </c>
      <c r="E310">
        <v>10</v>
      </c>
      <c r="F310">
        <v>2</v>
      </c>
      <c r="G310" s="2">
        <f>Table4[[#This Row],[gross_amount]]/Table4[[#This Row],[quantity]]</f>
        <v>150</v>
      </c>
      <c r="H310" s="2">
        <f>Table4[[#This Row],[total_amount]]/(1-Table4[[#This Row],[discount_pct]]/100)</f>
        <v>300</v>
      </c>
      <c r="I310">
        <v>0</v>
      </c>
      <c r="J310" s="2">
        <v>300</v>
      </c>
      <c r="K310" t="s">
        <v>322</v>
      </c>
      <c r="L310" s="2">
        <f>Table4[[#This Row],[total_amount]]*Table4[[#This Row],[refund_count]]</f>
        <v>0</v>
      </c>
      <c r="M310">
        <v>0</v>
      </c>
    </row>
    <row r="311" spans="1:13" x14ac:dyDescent="0.35">
      <c r="A311">
        <v>1310</v>
      </c>
      <c r="B311" s="1">
        <v>45821</v>
      </c>
      <c r="C311">
        <v>8</v>
      </c>
      <c r="D311">
        <v>112</v>
      </c>
      <c r="E311">
        <v>14</v>
      </c>
      <c r="F311">
        <v>3</v>
      </c>
      <c r="G311" s="2">
        <f>Table4[[#This Row],[gross_amount]]/Table4[[#This Row],[quantity]]</f>
        <v>133.33333333333334</v>
      </c>
      <c r="H311" s="2">
        <f>Table4[[#This Row],[total_amount]]/(1-Table4[[#This Row],[discount_pct]]/100)</f>
        <v>400</v>
      </c>
      <c r="I311">
        <v>20</v>
      </c>
      <c r="J311" s="2">
        <v>320</v>
      </c>
      <c r="K311" t="s">
        <v>322</v>
      </c>
      <c r="L311" s="2">
        <f>Table4[[#This Row],[total_amount]]*Table4[[#This Row],[refund_count]]</f>
        <v>0</v>
      </c>
      <c r="M311">
        <v>0</v>
      </c>
    </row>
    <row r="312" spans="1:13" x14ac:dyDescent="0.35">
      <c r="A312">
        <v>1311</v>
      </c>
      <c r="B312" s="1">
        <v>45821</v>
      </c>
      <c r="C312">
        <v>6</v>
      </c>
      <c r="D312">
        <v>154</v>
      </c>
      <c r="E312">
        <v>18</v>
      </c>
      <c r="F312">
        <v>2</v>
      </c>
      <c r="G312" s="2">
        <f>Table4[[#This Row],[gross_amount]]/Table4[[#This Row],[quantity]]</f>
        <v>170</v>
      </c>
      <c r="H312" s="2">
        <f>Table4[[#This Row],[total_amount]]/(1-Table4[[#This Row],[discount_pct]]/100)</f>
        <v>340</v>
      </c>
      <c r="I312">
        <v>0</v>
      </c>
      <c r="J312" s="2">
        <v>340</v>
      </c>
      <c r="K312" t="s">
        <v>320</v>
      </c>
      <c r="L312" s="2">
        <f>Table4[[#This Row],[total_amount]]*Table4[[#This Row],[refund_count]]</f>
        <v>0</v>
      </c>
      <c r="M312">
        <v>0</v>
      </c>
    </row>
    <row r="313" spans="1:13" x14ac:dyDescent="0.35">
      <c r="A313">
        <v>1312</v>
      </c>
      <c r="B313" s="1">
        <v>45821</v>
      </c>
      <c r="C313">
        <v>3</v>
      </c>
      <c r="D313">
        <v>172</v>
      </c>
      <c r="E313">
        <v>17</v>
      </c>
      <c r="F313">
        <v>1</v>
      </c>
      <c r="G313" s="2">
        <f>Table4[[#This Row],[gross_amount]]/Table4[[#This Row],[quantity]]</f>
        <v>270</v>
      </c>
      <c r="H313" s="2">
        <f>Table4[[#This Row],[total_amount]]/(1-Table4[[#This Row],[discount_pct]]/100)</f>
        <v>270</v>
      </c>
      <c r="I313">
        <v>20</v>
      </c>
      <c r="J313" s="2">
        <v>216</v>
      </c>
      <c r="K313" t="s">
        <v>320</v>
      </c>
      <c r="L313" s="2">
        <f>Table4[[#This Row],[total_amount]]*Table4[[#This Row],[refund_count]]</f>
        <v>0</v>
      </c>
      <c r="M313">
        <v>0</v>
      </c>
    </row>
    <row r="314" spans="1:13" x14ac:dyDescent="0.35">
      <c r="A314">
        <v>1313</v>
      </c>
      <c r="B314" s="1">
        <v>45852</v>
      </c>
      <c r="C314">
        <v>1</v>
      </c>
      <c r="D314">
        <v>74</v>
      </c>
      <c r="E314">
        <v>14</v>
      </c>
      <c r="F314">
        <v>3</v>
      </c>
      <c r="G314" s="2">
        <f>Table4[[#This Row],[gross_amount]]/Table4[[#This Row],[quantity]]</f>
        <v>133.33333333333334</v>
      </c>
      <c r="H314" s="2">
        <f>Table4[[#This Row],[total_amount]]/(1-Table4[[#This Row],[discount_pct]]/100)</f>
        <v>400</v>
      </c>
      <c r="I314">
        <v>20</v>
      </c>
      <c r="J314" s="2">
        <v>320</v>
      </c>
      <c r="K314" t="s">
        <v>322</v>
      </c>
      <c r="L314" s="2">
        <f>Table4[[#This Row],[total_amount]]*Table4[[#This Row],[refund_count]]</f>
        <v>0</v>
      </c>
      <c r="M314">
        <v>0</v>
      </c>
    </row>
    <row r="315" spans="1:13" x14ac:dyDescent="0.35">
      <c r="A315">
        <v>1314</v>
      </c>
      <c r="B315" s="1">
        <v>45852</v>
      </c>
      <c r="C315">
        <v>3</v>
      </c>
      <c r="D315">
        <v>112</v>
      </c>
      <c r="E315">
        <v>20</v>
      </c>
      <c r="F315">
        <v>3</v>
      </c>
      <c r="G315" s="2">
        <f>Table4[[#This Row],[gross_amount]]/Table4[[#This Row],[quantity]]</f>
        <v>180</v>
      </c>
      <c r="H315" s="2">
        <f>Table4[[#This Row],[total_amount]]/(1-Table4[[#This Row],[discount_pct]]/100)</f>
        <v>540</v>
      </c>
      <c r="I315">
        <v>0</v>
      </c>
      <c r="J315" s="2">
        <v>540</v>
      </c>
      <c r="K315" t="s">
        <v>322</v>
      </c>
      <c r="L315" s="2">
        <f>Table4[[#This Row],[total_amount]]*Table4[[#This Row],[refund_count]]</f>
        <v>0</v>
      </c>
      <c r="M315">
        <v>0</v>
      </c>
    </row>
    <row r="316" spans="1:13" x14ac:dyDescent="0.35">
      <c r="A316">
        <v>1315</v>
      </c>
      <c r="B316" s="1">
        <v>45852</v>
      </c>
      <c r="C316">
        <v>8</v>
      </c>
      <c r="D316">
        <v>170</v>
      </c>
      <c r="E316">
        <v>19</v>
      </c>
      <c r="F316">
        <v>1</v>
      </c>
      <c r="G316" s="2">
        <f>Table4[[#This Row],[gross_amount]]/Table4[[#This Row],[quantity]]</f>
        <v>240</v>
      </c>
      <c r="H316" s="2">
        <f>Table4[[#This Row],[total_amount]]/(1-Table4[[#This Row],[discount_pct]]/100)</f>
        <v>240</v>
      </c>
      <c r="I316">
        <v>10</v>
      </c>
      <c r="J316" s="2">
        <v>216</v>
      </c>
      <c r="K316" t="s">
        <v>320</v>
      </c>
      <c r="L316" s="2">
        <f>Table4[[#This Row],[total_amount]]*Table4[[#This Row],[refund_count]]</f>
        <v>0</v>
      </c>
      <c r="M316">
        <v>0</v>
      </c>
    </row>
    <row r="317" spans="1:13" x14ac:dyDescent="0.35">
      <c r="A317">
        <v>1316</v>
      </c>
      <c r="B317" s="1">
        <v>45852</v>
      </c>
      <c r="C317">
        <v>8</v>
      </c>
      <c r="D317">
        <v>142</v>
      </c>
      <c r="E317">
        <v>7</v>
      </c>
      <c r="F317">
        <v>3</v>
      </c>
      <c r="G317" s="2">
        <f>Table4[[#This Row],[gross_amount]]/Table4[[#This Row],[quantity]]</f>
        <v>200</v>
      </c>
      <c r="H317" s="2">
        <f>Table4[[#This Row],[total_amount]]/(1-Table4[[#This Row],[discount_pct]]/100)</f>
        <v>600</v>
      </c>
      <c r="I317">
        <v>0</v>
      </c>
      <c r="J317" s="2">
        <v>600</v>
      </c>
      <c r="K317" t="s">
        <v>322</v>
      </c>
      <c r="L317" s="2">
        <f>Table4[[#This Row],[total_amount]]*Table4[[#This Row],[refund_count]]</f>
        <v>0</v>
      </c>
      <c r="M317">
        <v>0</v>
      </c>
    </row>
    <row r="318" spans="1:13" x14ac:dyDescent="0.35">
      <c r="A318">
        <v>1317</v>
      </c>
      <c r="B318" s="1">
        <v>45883</v>
      </c>
      <c r="C318">
        <v>4</v>
      </c>
      <c r="D318">
        <v>121</v>
      </c>
      <c r="E318">
        <v>18</v>
      </c>
      <c r="F318">
        <v>3</v>
      </c>
      <c r="G318" s="2">
        <f>Table4[[#This Row],[gross_amount]]/Table4[[#This Row],[quantity]]</f>
        <v>133.33333333333334</v>
      </c>
      <c r="H318" s="2">
        <f>Table4[[#This Row],[total_amount]]/(1-Table4[[#This Row],[discount_pct]]/100)</f>
        <v>400</v>
      </c>
      <c r="I318">
        <v>10</v>
      </c>
      <c r="J318" s="2">
        <v>360</v>
      </c>
      <c r="K318" t="s">
        <v>321</v>
      </c>
      <c r="L318" s="2">
        <f>Table4[[#This Row],[total_amount]]*Table4[[#This Row],[refund_count]]</f>
        <v>0</v>
      </c>
      <c r="M318">
        <v>0</v>
      </c>
    </row>
    <row r="319" spans="1:13" x14ac:dyDescent="0.35">
      <c r="A319">
        <v>1318</v>
      </c>
      <c r="B319" s="1">
        <v>45883</v>
      </c>
      <c r="C319">
        <v>3</v>
      </c>
      <c r="D319">
        <v>135</v>
      </c>
      <c r="E319">
        <v>18</v>
      </c>
      <c r="F319">
        <v>1</v>
      </c>
      <c r="G319" s="2">
        <f>Table4[[#This Row],[gross_amount]]/Table4[[#This Row],[quantity]]</f>
        <v>240</v>
      </c>
      <c r="H319" s="2">
        <f>Table4[[#This Row],[total_amount]]/(1-Table4[[#This Row],[discount_pct]]/100)</f>
        <v>240</v>
      </c>
      <c r="I319">
        <v>15</v>
      </c>
      <c r="J319" s="2">
        <v>204</v>
      </c>
      <c r="K319" t="s">
        <v>322</v>
      </c>
      <c r="L319" s="2">
        <f>Table4[[#This Row],[total_amount]]*Table4[[#This Row],[refund_count]]</f>
        <v>0</v>
      </c>
      <c r="M319">
        <v>0</v>
      </c>
    </row>
    <row r="320" spans="1:13" x14ac:dyDescent="0.35">
      <c r="A320">
        <v>1319</v>
      </c>
      <c r="B320" s="1">
        <v>45883</v>
      </c>
      <c r="C320">
        <v>2</v>
      </c>
      <c r="D320">
        <v>213</v>
      </c>
      <c r="E320">
        <v>8</v>
      </c>
      <c r="F320">
        <v>2</v>
      </c>
      <c r="G320" s="2">
        <f>Table4[[#This Row],[gross_amount]]/Table4[[#This Row],[quantity]]</f>
        <v>180</v>
      </c>
      <c r="H320" s="2">
        <f>Table4[[#This Row],[total_amount]]/(1-Table4[[#This Row],[discount_pct]]/100)</f>
        <v>360</v>
      </c>
      <c r="I320">
        <v>10</v>
      </c>
      <c r="J320" s="2">
        <v>324</v>
      </c>
      <c r="K320" t="s">
        <v>322</v>
      </c>
      <c r="L320" s="2">
        <f>Table4[[#This Row],[total_amount]]*Table4[[#This Row],[refund_count]]</f>
        <v>0</v>
      </c>
      <c r="M320">
        <v>0</v>
      </c>
    </row>
    <row r="321" spans="1:13" x14ac:dyDescent="0.35">
      <c r="A321">
        <v>1320</v>
      </c>
      <c r="B321" s="1">
        <v>45883</v>
      </c>
      <c r="C321">
        <v>1</v>
      </c>
      <c r="D321">
        <v>248</v>
      </c>
      <c r="E321">
        <v>19</v>
      </c>
      <c r="F321">
        <v>2</v>
      </c>
      <c r="G321" s="2">
        <f>Table4[[#This Row],[gross_amount]]/Table4[[#This Row],[quantity]]</f>
        <v>200</v>
      </c>
      <c r="H321" s="2">
        <f>Table4[[#This Row],[total_amount]]/(1-Table4[[#This Row],[discount_pct]]/100)</f>
        <v>400</v>
      </c>
      <c r="I321">
        <v>10</v>
      </c>
      <c r="J321" s="2">
        <v>360</v>
      </c>
      <c r="K321" t="s">
        <v>322</v>
      </c>
      <c r="L321" s="2">
        <f>Table4[[#This Row],[total_amount]]*Table4[[#This Row],[refund_count]]</f>
        <v>0</v>
      </c>
      <c r="M321">
        <v>0</v>
      </c>
    </row>
    <row r="322" spans="1:13" x14ac:dyDescent="0.35">
      <c r="A322">
        <v>1321</v>
      </c>
      <c r="B322" s="1">
        <v>45914</v>
      </c>
      <c r="C322">
        <v>2</v>
      </c>
      <c r="D322">
        <v>11</v>
      </c>
      <c r="E322">
        <v>2</v>
      </c>
      <c r="F322">
        <v>1</v>
      </c>
      <c r="G322" s="2">
        <f>Table4[[#This Row],[gross_amount]]/Table4[[#This Row],[quantity]]</f>
        <v>240</v>
      </c>
      <c r="H322" s="2">
        <f>Table4[[#This Row],[total_amount]]/(1-Table4[[#This Row],[discount_pct]]/100)</f>
        <v>240</v>
      </c>
      <c r="I322">
        <v>10</v>
      </c>
      <c r="J322" s="2">
        <v>216</v>
      </c>
      <c r="K322" t="s">
        <v>321</v>
      </c>
      <c r="L322" s="2">
        <f>Table4[[#This Row],[total_amount]]*Table4[[#This Row],[refund_count]]</f>
        <v>0</v>
      </c>
      <c r="M322">
        <v>0</v>
      </c>
    </row>
    <row r="323" spans="1:13" x14ac:dyDescent="0.35">
      <c r="A323">
        <v>1322</v>
      </c>
      <c r="B323" s="1">
        <v>45914</v>
      </c>
      <c r="C323">
        <v>4</v>
      </c>
      <c r="D323">
        <v>241</v>
      </c>
      <c r="E323">
        <v>6</v>
      </c>
      <c r="F323">
        <v>3</v>
      </c>
      <c r="G323" s="2">
        <f>Table4[[#This Row],[gross_amount]]/Table4[[#This Row],[quantity]]</f>
        <v>120</v>
      </c>
      <c r="H323" s="2">
        <f>Table4[[#This Row],[total_amount]]/(1-Table4[[#This Row],[discount_pct]]/100)</f>
        <v>360</v>
      </c>
      <c r="I323">
        <v>0</v>
      </c>
      <c r="J323" s="2">
        <v>360</v>
      </c>
      <c r="K323" t="s">
        <v>320</v>
      </c>
      <c r="L323" s="2">
        <f>Table4[[#This Row],[total_amount]]*Table4[[#This Row],[refund_count]]</f>
        <v>0</v>
      </c>
      <c r="M323">
        <v>0</v>
      </c>
    </row>
    <row r="324" spans="1:13" x14ac:dyDescent="0.35">
      <c r="A324">
        <v>1323</v>
      </c>
      <c r="B324" s="1">
        <v>45914</v>
      </c>
      <c r="C324">
        <v>1</v>
      </c>
      <c r="D324">
        <v>30</v>
      </c>
      <c r="E324">
        <v>15</v>
      </c>
      <c r="F324">
        <v>3</v>
      </c>
      <c r="G324" s="2">
        <f>Table4[[#This Row],[gross_amount]]/Table4[[#This Row],[quantity]]</f>
        <v>133.33333333333334</v>
      </c>
      <c r="H324" s="2">
        <f>Table4[[#This Row],[total_amount]]/(1-Table4[[#This Row],[discount_pct]]/100)</f>
        <v>400</v>
      </c>
      <c r="I324">
        <v>10</v>
      </c>
      <c r="J324" s="2">
        <v>360</v>
      </c>
      <c r="K324" t="s">
        <v>322</v>
      </c>
      <c r="L324" s="2">
        <f>Table4[[#This Row],[total_amount]]*Table4[[#This Row],[refund_count]]</f>
        <v>0</v>
      </c>
      <c r="M324">
        <v>0</v>
      </c>
    </row>
    <row r="325" spans="1:13" x14ac:dyDescent="0.35">
      <c r="A325">
        <v>1324</v>
      </c>
      <c r="B325" s="1">
        <v>45914</v>
      </c>
      <c r="C325">
        <v>5</v>
      </c>
      <c r="D325">
        <v>111</v>
      </c>
      <c r="E325">
        <v>13</v>
      </c>
      <c r="F325">
        <v>2</v>
      </c>
      <c r="G325" s="2">
        <f>Table4[[#This Row],[gross_amount]]/Table4[[#This Row],[quantity]]</f>
        <v>200</v>
      </c>
      <c r="H325" s="2">
        <f>Table4[[#This Row],[total_amount]]/(1-Table4[[#This Row],[discount_pct]]/100)</f>
        <v>400</v>
      </c>
      <c r="I325">
        <v>0</v>
      </c>
      <c r="J325" s="2">
        <v>400</v>
      </c>
      <c r="K325" t="s">
        <v>320</v>
      </c>
      <c r="L325" s="2">
        <f>Table4[[#This Row],[total_amount]]*Table4[[#This Row],[refund_count]]</f>
        <v>0</v>
      </c>
      <c r="M325">
        <v>0</v>
      </c>
    </row>
    <row r="326" spans="1:13" x14ac:dyDescent="0.35">
      <c r="A326">
        <v>1325</v>
      </c>
      <c r="B326" s="1">
        <v>45944</v>
      </c>
      <c r="C326">
        <v>4</v>
      </c>
      <c r="D326">
        <v>211</v>
      </c>
      <c r="E326">
        <v>5</v>
      </c>
      <c r="F326">
        <v>2</v>
      </c>
      <c r="G326" s="2">
        <f>Table4[[#This Row],[gross_amount]]/Table4[[#This Row],[quantity]]</f>
        <v>160</v>
      </c>
      <c r="H326" s="2">
        <f>Table4[[#This Row],[total_amount]]/(1-Table4[[#This Row],[discount_pct]]/100)</f>
        <v>320</v>
      </c>
      <c r="I326">
        <v>5</v>
      </c>
      <c r="J326" s="2">
        <v>304</v>
      </c>
      <c r="K326" t="s">
        <v>322</v>
      </c>
      <c r="L326" s="2">
        <f>Table4[[#This Row],[total_amount]]*Table4[[#This Row],[refund_count]]</f>
        <v>0</v>
      </c>
      <c r="M326">
        <v>0</v>
      </c>
    </row>
    <row r="327" spans="1:13" x14ac:dyDescent="0.35">
      <c r="A327">
        <v>1326</v>
      </c>
      <c r="B327" s="1">
        <v>45944</v>
      </c>
      <c r="C327">
        <v>2</v>
      </c>
      <c r="D327">
        <v>187</v>
      </c>
      <c r="E327">
        <v>13</v>
      </c>
      <c r="F327">
        <v>3</v>
      </c>
      <c r="G327" s="2">
        <f>Table4[[#This Row],[gross_amount]]/Table4[[#This Row],[quantity]]</f>
        <v>160</v>
      </c>
      <c r="H327" s="2">
        <f>Table4[[#This Row],[total_amount]]/(1-Table4[[#This Row],[discount_pct]]/100)</f>
        <v>480</v>
      </c>
      <c r="I327">
        <v>20</v>
      </c>
      <c r="J327" s="2">
        <v>384</v>
      </c>
      <c r="K327" t="s">
        <v>322</v>
      </c>
      <c r="L327" s="2">
        <f>Table4[[#This Row],[total_amount]]*Table4[[#This Row],[refund_count]]</f>
        <v>0</v>
      </c>
      <c r="M327">
        <v>0</v>
      </c>
    </row>
    <row r="328" spans="1:13" x14ac:dyDescent="0.35">
      <c r="A328">
        <v>1327</v>
      </c>
      <c r="B328" s="1">
        <v>45944</v>
      </c>
      <c r="C328">
        <v>7</v>
      </c>
      <c r="D328">
        <v>99</v>
      </c>
      <c r="E328">
        <v>16</v>
      </c>
      <c r="F328">
        <v>3</v>
      </c>
      <c r="G328" s="2">
        <f>Table4[[#This Row],[gross_amount]]/Table4[[#This Row],[quantity]]</f>
        <v>113.33333333333333</v>
      </c>
      <c r="H328" s="2">
        <f>Table4[[#This Row],[total_amount]]/(1-Table4[[#This Row],[discount_pct]]/100)</f>
        <v>340</v>
      </c>
      <c r="I328">
        <v>10</v>
      </c>
      <c r="J328" s="2">
        <v>306</v>
      </c>
      <c r="K328" t="s">
        <v>321</v>
      </c>
      <c r="L328" s="2">
        <f>Table4[[#This Row],[total_amount]]*Table4[[#This Row],[refund_count]]</f>
        <v>0</v>
      </c>
      <c r="M328">
        <v>0</v>
      </c>
    </row>
    <row r="329" spans="1:13" x14ac:dyDescent="0.35">
      <c r="A329">
        <v>1328</v>
      </c>
      <c r="B329" s="1">
        <v>45944</v>
      </c>
      <c r="C329">
        <v>7</v>
      </c>
      <c r="D329">
        <v>110</v>
      </c>
      <c r="E329">
        <v>19</v>
      </c>
      <c r="F329">
        <v>3</v>
      </c>
      <c r="G329" s="2">
        <f>Table4[[#This Row],[gross_amount]]/Table4[[#This Row],[quantity]]</f>
        <v>180</v>
      </c>
      <c r="H329" s="2">
        <f>Table4[[#This Row],[total_amount]]/(1-Table4[[#This Row],[discount_pct]]/100)</f>
        <v>540</v>
      </c>
      <c r="I329">
        <v>0</v>
      </c>
      <c r="J329" s="2">
        <v>540</v>
      </c>
      <c r="K329" t="s">
        <v>320</v>
      </c>
      <c r="L329" s="2">
        <f>Table4[[#This Row],[total_amount]]*Table4[[#This Row],[refund_count]]</f>
        <v>0</v>
      </c>
      <c r="M329">
        <v>0</v>
      </c>
    </row>
    <row r="330" spans="1:13" x14ac:dyDescent="0.35">
      <c r="A330">
        <v>1329</v>
      </c>
      <c r="B330" s="1">
        <v>45975</v>
      </c>
      <c r="C330">
        <v>7</v>
      </c>
      <c r="D330">
        <v>51</v>
      </c>
      <c r="E330">
        <v>19</v>
      </c>
      <c r="F330">
        <v>2</v>
      </c>
      <c r="G330" s="2">
        <f>Table4[[#This Row],[gross_amount]]/Table4[[#This Row],[quantity]]</f>
        <v>170</v>
      </c>
      <c r="H330" s="2">
        <f>Table4[[#This Row],[total_amount]]/(1-Table4[[#This Row],[discount_pct]]/100)</f>
        <v>340</v>
      </c>
      <c r="I330">
        <v>5</v>
      </c>
      <c r="J330" s="2">
        <v>323</v>
      </c>
      <c r="K330" t="s">
        <v>255</v>
      </c>
      <c r="L330" s="2">
        <f>Table4[[#This Row],[total_amount]]*Table4[[#This Row],[refund_count]]</f>
        <v>0</v>
      </c>
      <c r="M330">
        <v>0</v>
      </c>
    </row>
    <row r="331" spans="1:13" x14ac:dyDescent="0.35">
      <c r="A331">
        <v>1330</v>
      </c>
      <c r="B331" s="1">
        <v>45975</v>
      </c>
      <c r="C331">
        <v>3</v>
      </c>
      <c r="D331">
        <v>231</v>
      </c>
      <c r="E331">
        <v>10</v>
      </c>
      <c r="F331">
        <v>2</v>
      </c>
      <c r="G331" s="2">
        <f>Table4[[#This Row],[gross_amount]]/Table4[[#This Row],[quantity]]</f>
        <v>150</v>
      </c>
      <c r="H331" s="2">
        <f>Table4[[#This Row],[total_amount]]/(1-Table4[[#This Row],[discount_pct]]/100)</f>
        <v>300</v>
      </c>
      <c r="I331">
        <v>15</v>
      </c>
      <c r="J331" s="2">
        <v>255</v>
      </c>
      <c r="K331" t="s">
        <v>320</v>
      </c>
      <c r="L331" s="2">
        <f>Table4[[#This Row],[total_amount]]*Table4[[#This Row],[refund_count]]</f>
        <v>0</v>
      </c>
      <c r="M331">
        <v>0</v>
      </c>
    </row>
    <row r="332" spans="1:13" x14ac:dyDescent="0.35">
      <c r="A332">
        <v>1331</v>
      </c>
      <c r="B332" s="1">
        <v>45975</v>
      </c>
      <c r="C332">
        <v>2</v>
      </c>
      <c r="D332">
        <v>202</v>
      </c>
      <c r="E332">
        <v>5</v>
      </c>
      <c r="F332">
        <v>1</v>
      </c>
      <c r="G332" s="2">
        <f>Table4[[#This Row],[gross_amount]]/Table4[[#This Row],[quantity]]</f>
        <v>160</v>
      </c>
      <c r="H332" s="2">
        <f>Table4[[#This Row],[total_amount]]/(1-Table4[[#This Row],[discount_pct]]/100)</f>
        <v>160</v>
      </c>
      <c r="I332">
        <v>0</v>
      </c>
      <c r="J332" s="2">
        <v>160</v>
      </c>
      <c r="K332" t="s">
        <v>322</v>
      </c>
      <c r="L332" s="2">
        <f>Table4[[#This Row],[total_amount]]*Table4[[#This Row],[refund_count]]</f>
        <v>0</v>
      </c>
      <c r="M332">
        <v>0</v>
      </c>
    </row>
    <row r="333" spans="1:13" x14ac:dyDescent="0.35">
      <c r="A333">
        <v>1332</v>
      </c>
      <c r="B333" s="1">
        <v>45975</v>
      </c>
      <c r="C333">
        <v>7</v>
      </c>
      <c r="D333">
        <v>200</v>
      </c>
      <c r="E333">
        <v>3</v>
      </c>
      <c r="F333">
        <v>3</v>
      </c>
      <c r="G333" s="2">
        <f>Table4[[#This Row],[gross_amount]]/Table4[[#This Row],[quantity]]</f>
        <v>160</v>
      </c>
      <c r="H333" s="2">
        <f>Table4[[#This Row],[total_amount]]/(1-Table4[[#This Row],[discount_pct]]/100)</f>
        <v>480</v>
      </c>
      <c r="I333">
        <v>5</v>
      </c>
      <c r="J333" s="2">
        <v>456</v>
      </c>
      <c r="K333" t="s">
        <v>321</v>
      </c>
      <c r="L333" s="2">
        <f>Table4[[#This Row],[total_amount]]*Table4[[#This Row],[refund_count]]</f>
        <v>0</v>
      </c>
      <c r="M333">
        <v>0</v>
      </c>
    </row>
    <row r="334" spans="1:13" x14ac:dyDescent="0.35">
      <c r="A334">
        <v>1333</v>
      </c>
      <c r="B334" s="1">
        <v>46005</v>
      </c>
      <c r="C334">
        <v>6</v>
      </c>
      <c r="D334">
        <v>71</v>
      </c>
      <c r="E334">
        <v>19</v>
      </c>
      <c r="F334">
        <v>3</v>
      </c>
      <c r="G334" s="2">
        <f>Table4[[#This Row],[gross_amount]]/Table4[[#This Row],[quantity]]</f>
        <v>160</v>
      </c>
      <c r="H334" s="2">
        <f>Table4[[#This Row],[total_amount]]/(1-Table4[[#This Row],[discount_pct]]/100)</f>
        <v>480</v>
      </c>
      <c r="I334">
        <v>0</v>
      </c>
      <c r="J334" s="2">
        <v>480</v>
      </c>
      <c r="K334" t="s">
        <v>321</v>
      </c>
      <c r="L334" s="2">
        <f>Table4[[#This Row],[total_amount]]*Table4[[#This Row],[refund_count]]</f>
        <v>0</v>
      </c>
      <c r="M334">
        <v>0</v>
      </c>
    </row>
    <row r="335" spans="1:13" x14ac:dyDescent="0.35">
      <c r="A335">
        <v>1334</v>
      </c>
      <c r="B335" s="1">
        <v>46005</v>
      </c>
      <c r="C335">
        <v>10</v>
      </c>
      <c r="D335">
        <v>235</v>
      </c>
      <c r="E335">
        <v>4</v>
      </c>
      <c r="F335">
        <v>2</v>
      </c>
      <c r="G335" s="2">
        <f>Table4[[#This Row],[gross_amount]]/Table4[[#This Row],[quantity]]</f>
        <v>190</v>
      </c>
      <c r="H335" s="2">
        <f>Table4[[#This Row],[total_amount]]/(1-Table4[[#This Row],[discount_pct]]/100)</f>
        <v>380</v>
      </c>
      <c r="I335">
        <v>0</v>
      </c>
      <c r="J335" s="2">
        <v>380</v>
      </c>
      <c r="K335" t="s">
        <v>320</v>
      </c>
      <c r="L335" s="2">
        <f>Table4[[#This Row],[total_amount]]*Table4[[#This Row],[refund_count]]</f>
        <v>0</v>
      </c>
      <c r="M335">
        <v>0</v>
      </c>
    </row>
    <row r="336" spans="1:13" x14ac:dyDescent="0.35">
      <c r="A336">
        <v>1335</v>
      </c>
      <c r="B336" s="1">
        <v>46005</v>
      </c>
      <c r="C336">
        <v>7</v>
      </c>
      <c r="D336">
        <v>145</v>
      </c>
      <c r="E336">
        <v>14</v>
      </c>
      <c r="F336">
        <v>3</v>
      </c>
      <c r="G336" s="2">
        <f>Table4[[#This Row],[gross_amount]]/Table4[[#This Row],[quantity]]</f>
        <v>160</v>
      </c>
      <c r="H336" s="2">
        <f>Table4[[#This Row],[total_amount]]/(1-Table4[[#This Row],[discount_pct]]/100)</f>
        <v>480</v>
      </c>
      <c r="I336">
        <v>0</v>
      </c>
      <c r="J336" s="2">
        <v>480</v>
      </c>
      <c r="K336" t="s">
        <v>322</v>
      </c>
      <c r="L336" s="2">
        <f>Table4[[#This Row],[total_amount]]*Table4[[#This Row],[refund_count]]</f>
        <v>0</v>
      </c>
      <c r="M336">
        <v>0</v>
      </c>
    </row>
    <row r="337" spans="1:13" x14ac:dyDescent="0.35">
      <c r="A337">
        <v>1336</v>
      </c>
      <c r="B337" s="1">
        <v>46005</v>
      </c>
      <c r="C337">
        <v>2</v>
      </c>
      <c r="D337">
        <v>117</v>
      </c>
      <c r="E337">
        <v>3</v>
      </c>
      <c r="F337">
        <v>1</v>
      </c>
      <c r="G337" s="2">
        <f>Table4[[#This Row],[gross_amount]]/Table4[[#This Row],[quantity]]</f>
        <v>200</v>
      </c>
      <c r="H337" s="2">
        <f>Table4[[#This Row],[total_amount]]/(1-Table4[[#This Row],[discount_pct]]/100)</f>
        <v>200</v>
      </c>
      <c r="I337">
        <v>0</v>
      </c>
      <c r="J337" s="2">
        <v>200</v>
      </c>
      <c r="K337" t="s">
        <v>322</v>
      </c>
      <c r="L337" s="2">
        <f>Table4[[#This Row],[total_amount]]*Table4[[#This Row],[refund_count]]</f>
        <v>0</v>
      </c>
      <c r="M337">
        <v>0</v>
      </c>
    </row>
    <row r="338" spans="1:13" x14ac:dyDescent="0.35">
      <c r="A338">
        <v>1337</v>
      </c>
      <c r="B338" s="1">
        <v>45672</v>
      </c>
      <c r="C338">
        <v>10</v>
      </c>
      <c r="D338">
        <v>74</v>
      </c>
      <c r="E338">
        <v>16</v>
      </c>
      <c r="F338">
        <v>1</v>
      </c>
      <c r="G338" s="2">
        <f>Table4[[#This Row],[gross_amount]]/Table4[[#This Row],[quantity]]</f>
        <v>240</v>
      </c>
      <c r="H338" s="2">
        <f>Table4[[#This Row],[total_amount]]/(1-Table4[[#This Row],[discount_pct]]/100)</f>
        <v>240</v>
      </c>
      <c r="I338">
        <v>15</v>
      </c>
      <c r="J338" s="2">
        <v>204</v>
      </c>
      <c r="K338" t="s">
        <v>322</v>
      </c>
      <c r="L338" s="2">
        <f>Table4[[#This Row],[total_amount]]*Table4[[#This Row],[refund_count]]</f>
        <v>0</v>
      </c>
      <c r="M338">
        <v>0</v>
      </c>
    </row>
    <row r="339" spans="1:13" x14ac:dyDescent="0.35">
      <c r="A339">
        <v>1338</v>
      </c>
      <c r="B339" s="1">
        <v>45672</v>
      </c>
      <c r="C339">
        <v>7</v>
      </c>
      <c r="D339">
        <v>54</v>
      </c>
      <c r="E339">
        <v>7</v>
      </c>
      <c r="F339">
        <v>1</v>
      </c>
      <c r="G339" s="2">
        <f>Table4[[#This Row],[gross_amount]]/Table4[[#This Row],[quantity]]</f>
        <v>200</v>
      </c>
      <c r="H339" s="2">
        <f>Table4[[#This Row],[total_amount]]/(1-Table4[[#This Row],[discount_pct]]/100)</f>
        <v>200</v>
      </c>
      <c r="I339">
        <v>15</v>
      </c>
      <c r="J339" s="2">
        <v>170</v>
      </c>
      <c r="K339" t="s">
        <v>320</v>
      </c>
      <c r="L339" s="2">
        <f>Table4[[#This Row],[total_amount]]*Table4[[#This Row],[refund_count]]</f>
        <v>0</v>
      </c>
      <c r="M339">
        <v>0</v>
      </c>
    </row>
    <row r="340" spans="1:13" x14ac:dyDescent="0.35">
      <c r="A340">
        <v>1339</v>
      </c>
      <c r="B340" s="1">
        <v>45672</v>
      </c>
      <c r="C340">
        <v>7</v>
      </c>
      <c r="D340">
        <v>216</v>
      </c>
      <c r="E340">
        <v>3</v>
      </c>
      <c r="F340">
        <v>3</v>
      </c>
      <c r="G340" s="2">
        <f>Table4[[#This Row],[gross_amount]]/Table4[[#This Row],[quantity]]</f>
        <v>160</v>
      </c>
      <c r="H340" s="2">
        <f>Table4[[#This Row],[total_amount]]/(1-Table4[[#This Row],[discount_pct]]/100)</f>
        <v>480</v>
      </c>
      <c r="I340">
        <v>15</v>
      </c>
      <c r="J340" s="2">
        <v>408</v>
      </c>
      <c r="K340" t="s">
        <v>322</v>
      </c>
      <c r="L340" s="2">
        <f>Table4[[#This Row],[total_amount]]*Table4[[#This Row],[refund_count]]</f>
        <v>0</v>
      </c>
      <c r="M340">
        <v>0</v>
      </c>
    </row>
    <row r="341" spans="1:13" x14ac:dyDescent="0.35">
      <c r="A341">
        <v>1340</v>
      </c>
      <c r="B341" s="1">
        <v>45672</v>
      </c>
      <c r="C341">
        <v>1</v>
      </c>
      <c r="D341">
        <v>180</v>
      </c>
      <c r="E341">
        <v>14</v>
      </c>
      <c r="F341">
        <v>1</v>
      </c>
      <c r="G341" s="2">
        <f>Table4[[#This Row],[gross_amount]]/Table4[[#This Row],[quantity]]</f>
        <v>200</v>
      </c>
      <c r="H341" s="2">
        <f>Table4[[#This Row],[total_amount]]/(1-Table4[[#This Row],[discount_pct]]/100)</f>
        <v>200</v>
      </c>
      <c r="I341">
        <v>10</v>
      </c>
      <c r="J341" s="2">
        <v>180</v>
      </c>
      <c r="K341" t="s">
        <v>320</v>
      </c>
      <c r="L341" s="2">
        <f>Table4[[#This Row],[total_amount]]*Table4[[#This Row],[refund_count]]</f>
        <v>0</v>
      </c>
      <c r="M341">
        <v>0</v>
      </c>
    </row>
    <row r="342" spans="1:13" x14ac:dyDescent="0.35">
      <c r="A342">
        <v>1341</v>
      </c>
      <c r="B342" s="1">
        <v>45703</v>
      </c>
      <c r="C342">
        <v>5</v>
      </c>
      <c r="D342">
        <v>201</v>
      </c>
      <c r="E342">
        <v>18</v>
      </c>
      <c r="F342">
        <v>3</v>
      </c>
      <c r="G342" s="2">
        <f>Table4[[#This Row],[gross_amount]]/Table4[[#This Row],[quantity]]</f>
        <v>150</v>
      </c>
      <c r="H342" s="2">
        <f>Table4[[#This Row],[total_amount]]/(1-Table4[[#This Row],[discount_pct]]/100)</f>
        <v>450</v>
      </c>
      <c r="I342">
        <v>20</v>
      </c>
      <c r="J342" s="2">
        <v>360</v>
      </c>
      <c r="K342" t="s">
        <v>321</v>
      </c>
      <c r="L342" s="2">
        <f>Table4[[#This Row],[total_amount]]*Table4[[#This Row],[refund_count]]</f>
        <v>0</v>
      </c>
      <c r="M342">
        <v>0</v>
      </c>
    </row>
    <row r="343" spans="1:13" x14ac:dyDescent="0.35">
      <c r="A343">
        <v>1342</v>
      </c>
      <c r="B343" s="1">
        <v>45703</v>
      </c>
      <c r="C343">
        <v>2</v>
      </c>
      <c r="D343">
        <v>4</v>
      </c>
      <c r="E343">
        <v>10</v>
      </c>
      <c r="F343">
        <v>3</v>
      </c>
      <c r="G343" s="2">
        <f>Table4[[#This Row],[gross_amount]]/Table4[[#This Row],[quantity]]</f>
        <v>150</v>
      </c>
      <c r="H343" s="2">
        <f>Table4[[#This Row],[total_amount]]/(1-Table4[[#This Row],[discount_pct]]/100)</f>
        <v>450</v>
      </c>
      <c r="I343">
        <v>10</v>
      </c>
      <c r="J343" s="2">
        <v>405</v>
      </c>
      <c r="K343" t="s">
        <v>322</v>
      </c>
      <c r="L343" s="2">
        <f>Table4[[#This Row],[total_amount]]*Table4[[#This Row],[refund_count]]</f>
        <v>0</v>
      </c>
      <c r="M343">
        <v>0</v>
      </c>
    </row>
    <row r="344" spans="1:13" x14ac:dyDescent="0.35">
      <c r="A344">
        <v>1343</v>
      </c>
      <c r="B344" s="1">
        <v>45703</v>
      </c>
      <c r="C344">
        <v>2</v>
      </c>
      <c r="D344">
        <v>199</v>
      </c>
      <c r="E344">
        <v>5</v>
      </c>
      <c r="F344">
        <v>1</v>
      </c>
      <c r="G344" s="2">
        <f>Table4[[#This Row],[gross_amount]]/Table4[[#This Row],[quantity]]</f>
        <v>200</v>
      </c>
      <c r="H344" s="2">
        <f>Table4[[#This Row],[total_amount]]/(1-Table4[[#This Row],[discount_pct]]/100)</f>
        <v>200</v>
      </c>
      <c r="I344">
        <v>20</v>
      </c>
      <c r="J344" s="2">
        <v>160</v>
      </c>
      <c r="K344" t="s">
        <v>322</v>
      </c>
      <c r="L344" s="2">
        <f>Table4[[#This Row],[total_amount]]*Table4[[#This Row],[refund_count]]</f>
        <v>0</v>
      </c>
      <c r="M344">
        <v>0</v>
      </c>
    </row>
    <row r="345" spans="1:13" x14ac:dyDescent="0.35">
      <c r="A345">
        <v>1344</v>
      </c>
      <c r="B345" s="1">
        <v>45703</v>
      </c>
      <c r="C345">
        <v>3</v>
      </c>
      <c r="D345">
        <v>122</v>
      </c>
      <c r="E345">
        <v>2</v>
      </c>
      <c r="F345">
        <v>3</v>
      </c>
      <c r="G345" s="2">
        <f>Table4[[#This Row],[gross_amount]]/Table4[[#This Row],[quantity]]</f>
        <v>113.33333333333333</v>
      </c>
      <c r="H345" s="2">
        <f>Table4[[#This Row],[total_amount]]/(1-Table4[[#This Row],[discount_pct]]/100)</f>
        <v>340</v>
      </c>
      <c r="I345">
        <v>10</v>
      </c>
      <c r="J345" s="2">
        <v>306</v>
      </c>
      <c r="K345" t="s">
        <v>320</v>
      </c>
      <c r="L345" s="2">
        <f>Table4[[#This Row],[total_amount]]*Table4[[#This Row],[refund_count]]</f>
        <v>0</v>
      </c>
      <c r="M345">
        <v>0</v>
      </c>
    </row>
    <row r="346" spans="1:13" x14ac:dyDescent="0.35">
      <c r="A346">
        <v>1345</v>
      </c>
      <c r="B346" s="1">
        <v>45731</v>
      </c>
      <c r="C346">
        <v>9</v>
      </c>
      <c r="D346">
        <v>177</v>
      </c>
      <c r="E346">
        <v>7</v>
      </c>
      <c r="F346">
        <v>3</v>
      </c>
      <c r="G346" s="2">
        <f>Table4[[#This Row],[gross_amount]]/Table4[[#This Row],[quantity]]</f>
        <v>200</v>
      </c>
      <c r="H346" s="2">
        <f>Table4[[#This Row],[total_amount]]/(1-Table4[[#This Row],[discount_pct]]/100)</f>
        <v>600</v>
      </c>
      <c r="I346">
        <v>0</v>
      </c>
      <c r="J346" s="2">
        <v>600</v>
      </c>
      <c r="K346" t="s">
        <v>320</v>
      </c>
      <c r="L346" s="2">
        <f>Table4[[#This Row],[total_amount]]*Table4[[#This Row],[refund_count]]</f>
        <v>0</v>
      </c>
      <c r="M346">
        <v>0</v>
      </c>
    </row>
    <row r="347" spans="1:13" x14ac:dyDescent="0.35">
      <c r="A347">
        <v>1346</v>
      </c>
      <c r="B347" s="1">
        <v>45731</v>
      </c>
      <c r="C347">
        <v>3</v>
      </c>
      <c r="D347">
        <v>234</v>
      </c>
      <c r="E347">
        <v>9</v>
      </c>
      <c r="F347">
        <v>1</v>
      </c>
      <c r="G347" s="2">
        <f>Table4[[#This Row],[gross_amount]]/Table4[[#This Row],[quantity]]</f>
        <v>200</v>
      </c>
      <c r="H347" s="2">
        <f>Table4[[#This Row],[total_amount]]/(1-Table4[[#This Row],[discount_pct]]/100)</f>
        <v>200</v>
      </c>
      <c r="I347">
        <v>0</v>
      </c>
      <c r="J347" s="2">
        <v>200</v>
      </c>
      <c r="K347" t="s">
        <v>321</v>
      </c>
      <c r="L347" s="2">
        <f>Table4[[#This Row],[total_amount]]*Table4[[#This Row],[refund_count]]</f>
        <v>0</v>
      </c>
      <c r="M347">
        <v>0</v>
      </c>
    </row>
    <row r="348" spans="1:13" x14ac:dyDescent="0.35">
      <c r="A348">
        <v>1347</v>
      </c>
      <c r="B348" s="1">
        <v>45731</v>
      </c>
      <c r="C348">
        <v>2</v>
      </c>
      <c r="D348">
        <v>101</v>
      </c>
      <c r="E348">
        <v>8</v>
      </c>
      <c r="F348">
        <v>3</v>
      </c>
      <c r="G348" s="2">
        <f>Table4[[#This Row],[gross_amount]]/Table4[[#This Row],[quantity]]</f>
        <v>160</v>
      </c>
      <c r="H348" s="2">
        <f>Table4[[#This Row],[total_amount]]/(1-Table4[[#This Row],[discount_pct]]/100)</f>
        <v>480</v>
      </c>
      <c r="I348">
        <v>5</v>
      </c>
      <c r="J348" s="2">
        <v>456</v>
      </c>
      <c r="K348" t="s">
        <v>320</v>
      </c>
      <c r="L348" s="2">
        <f>Table4[[#This Row],[total_amount]]*Table4[[#This Row],[refund_count]]</f>
        <v>0</v>
      </c>
      <c r="M348">
        <v>0</v>
      </c>
    </row>
    <row r="349" spans="1:13" x14ac:dyDescent="0.35">
      <c r="A349">
        <v>1348</v>
      </c>
      <c r="B349" s="1">
        <v>45731</v>
      </c>
      <c r="C349">
        <v>1</v>
      </c>
      <c r="D349">
        <v>94</v>
      </c>
      <c r="E349">
        <v>11</v>
      </c>
      <c r="F349">
        <v>2</v>
      </c>
      <c r="G349" s="2">
        <f>Table4[[#This Row],[gross_amount]]/Table4[[#This Row],[quantity]]</f>
        <v>160</v>
      </c>
      <c r="H349" s="2">
        <f>Table4[[#This Row],[total_amount]]/(1-Table4[[#This Row],[discount_pct]]/100)</f>
        <v>320</v>
      </c>
      <c r="I349">
        <v>5</v>
      </c>
      <c r="J349" s="2">
        <v>304</v>
      </c>
      <c r="K349" t="s">
        <v>322</v>
      </c>
      <c r="L349" s="2">
        <f>Table4[[#This Row],[total_amount]]*Table4[[#This Row],[refund_count]]</f>
        <v>0</v>
      </c>
      <c r="M349">
        <v>0</v>
      </c>
    </row>
    <row r="350" spans="1:13" x14ac:dyDescent="0.35">
      <c r="A350">
        <v>1349</v>
      </c>
      <c r="B350" s="1">
        <v>45762</v>
      </c>
      <c r="C350">
        <v>3</v>
      </c>
      <c r="D350">
        <v>199</v>
      </c>
      <c r="E350">
        <v>7</v>
      </c>
      <c r="F350">
        <v>3</v>
      </c>
      <c r="G350" s="2">
        <f>Table4[[#This Row],[gross_amount]]/Table4[[#This Row],[quantity]]</f>
        <v>113.33333333333333</v>
      </c>
      <c r="H350" s="2">
        <f>Table4[[#This Row],[total_amount]]/(1-Table4[[#This Row],[discount_pct]]/100)</f>
        <v>340</v>
      </c>
      <c r="I350">
        <v>10</v>
      </c>
      <c r="J350" s="2">
        <v>306</v>
      </c>
      <c r="K350" t="s">
        <v>320</v>
      </c>
      <c r="L350" s="2">
        <f>Table4[[#This Row],[total_amount]]*Table4[[#This Row],[refund_count]]</f>
        <v>0</v>
      </c>
      <c r="M350">
        <v>0</v>
      </c>
    </row>
    <row r="351" spans="1:13" x14ac:dyDescent="0.35">
      <c r="A351">
        <v>1350</v>
      </c>
      <c r="B351" s="1">
        <v>45762</v>
      </c>
      <c r="C351">
        <v>5</v>
      </c>
      <c r="D351">
        <v>200</v>
      </c>
      <c r="E351">
        <v>10</v>
      </c>
      <c r="F351">
        <v>1</v>
      </c>
      <c r="G351" s="2">
        <f>Table4[[#This Row],[gross_amount]]/Table4[[#This Row],[quantity]]</f>
        <v>270</v>
      </c>
      <c r="H351" s="2">
        <f>Table4[[#This Row],[total_amount]]/(1-Table4[[#This Row],[discount_pct]]/100)</f>
        <v>270</v>
      </c>
      <c r="I351">
        <v>20</v>
      </c>
      <c r="J351" s="2">
        <v>216</v>
      </c>
      <c r="K351" t="s">
        <v>322</v>
      </c>
      <c r="L351" s="2">
        <f>Table4[[#This Row],[total_amount]]*Table4[[#This Row],[refund_count]]</f>
        <v>0</v>
      </c>
      <c r="M351">
        <v>0</v>
      </c>
    </row>
    <row r="352" spans="1:13" x14ac:dyDescent="0.35">
      <c r="A352">
        <v>1351</v>
      </c>
      <c r="B352" s="1">
        <v>45762</v>
      </c>
      <c r="C352">
        <v>5</v>
      </c>
      <c r="D352">
        <v>221</v>
      </c>
      <c r="E352">
        <v>9</v>
      </c>
      <c r="F352">
        <v>1</v>
      </c>
      <c r="G352" s="2">
        <f>Table4[[#This Row],[gross_amount]]/Table4[[#This Row],[quantity]]</f>
        <v>200</v>
      </c>
      <c r="H352" s="2">
        <f>Table4[[#This Row],[total_amount]]/(1-Table4[[#This Row],[discount_pct]]/100)</f>
        <v>200</v>
      </c>
      <c r="I352">
        <v>15</v>
      </c>
      <c r="J352" s="2">
        <v>170</v>
      </c>
      <c r="K352" t="s">
        <v>322</v>
      </c>
      <c r="L352" s="2">
        <f>Table4[[#This Row],[total_amount]]*Table4[[#This Row],[refund_count]]</f>
        <v>0</v>
      </c>
      <c r="M352">
        <v>0</v>
      </c>
    </row>
    <row r="353" spans="1:13" x14ac:dyDescent="0.35">
      <c r="A353">
        <v>1352</v>
      </c>
      <c r="B353" s="1">
        <v>45762</v>
      </c>
      <c r="C353">
        <v>4</v>
      </c>
      <c r="D353">
        <v>204</v>
      </c>
      <c r="E353">
        <v>4</v>
      </c>
      <c r="F353">
        <v>3</v>
      </c>
      <c r="G353" s="2">
        <f>Table4[[#This Row],[gross_amount]]/Table4[[#This Row],[quantity]]</f>
        <v>160</v>
      </c>
      <c r="H353" s="2">
        <f>Table4[[#This Row],[total_amount]]/(1-Table4[[#This Row],[discount_pct]]/100)</f>
        <v>480</v>
      </c>
      <c r="I353">
        <v>0</v>
      </c>
      <c r="J353" s="2">
        <v>480</v>
      </c>
      <c r="K353" t="s">
        <v>322</v>
      </c>
      <c r="L353" s="2">
        <f>Table4[[#This Row],[total_amount]]*Table4[[#This Row],[refund_count]]</f>
        <v>0</v>
      </c>
      <c r="M353">
        <v>0</v>
      </c>
    </row>
    <row r="354" spans="1:13" x14ac:dyDescent="0.35">
      <c r="A354">
        <v>1353</v>
      </c>
      <c r="B354" s="1">
        <v>45792</v>
      </c>
      <c r="C354">
        <v>5</v>
      </c>
      <c r="D354">
        <v>91</v>
      </c>
      <c r="E354">
        <v>18</v>
      </c>
      <c r="F354">
        <v>1</v>
      </c>
      <c r="G354" s="2">
        <f>Table4[[#This Row],[gross_amount]]/Table4[[#This Row],[quantity]]</f>
        <v>340</v>
      </c>
      <c r="H354" s="2">
        <f>Table4[[#This Row],[total_amount]]/(1-Table4[[#This Row],[discount_pct]]/100)</f>
        <v>340</v>
      </c>
      <c r="I354">
        <v>20</v>
      </c>
      <c r="J354" s="2">
        <v>272</v>
      </c>
      <c r="K354" t="s">
        <v>322</v>
      </c>
      <c r="L354" s="2">
        <f>Table4[[#This Row],[total_amount]]*Table4[[#This Row],[refund_count]]</f>
        <v>0</v>
      </c>
      <c r="M354">
        <v>0</v>
      </c>
    </row>
    <row r="355" spans="1:13" x14ac:dyDescent="0.35">
      <c r="A355">
        <v>1354</v>
      </c>
      <c r="B355" s="1">
        <v>45792</v>
      </c>
      <c r="C355">
        <v>6</v>
      </c>
      <c r="D355">
        <v>76</v>
      </c>
      <c r="E355">
        <v>18</v>
      </c>
      <c r="F355">
        <v>1</v>
      </c>
      <c r="G355" s="2">
        <f>Table4[[#This Row],[gross_amount]]/Table4[[#This Row],[quantity]]</f>
        <v>160</v>
      </c>
      <c r="H355" s="2">
        <f>Table4[[#This Row],[total_amount]]/(1-Table4[[#This Row],[discount_pct]]/100)</f>
        <v>160</v>
      </c>
      <c r="I355">
        <v>0</v>
      </c>
      <c r="J355" s="2">
        <v>160</v>
      </c>
      <c r="K355" t="s">
        <v>322</v>
      </c>
      <c r="L355" s="2">
        <f>Table4[[#This Row],[total_amount]]*Table4[[#This Row],[refund_count]]</f>
        <v>0</v>
      </c>
      <c r="M355">
        <v>0</v>
      </c>
    </row>
    <row r="356" spans="1:13" x14ac:dyDescent="0.35">
      <c r="A356">
        <v>1355</v>
      </c>
      <c r="B356" s="1">
        <v>45792</v>
      </c>
      <c r="C356">
        <v>3</v>
      </c>
      <c r="D356">
        <v>239</v>
      </c>
      <c r="E356">
        <v>13</v>
      </c>
      <c r="F356">
        <v>2</v>
      </c>
      <c r="G356" s="2">
        <f>Table4[[#This Row],[gross_amount]]/Table4[[#This Row],[quantity]]</f>
        <v>180</v>
      </c>
      <c r="H356" s="2">
        <f>Table4[[#This Row],[total_amount]]/(1-Table4[[#This Row],[discount_pct]]/100)</f>
        <v>360</v>
      </c>
      <c r="I356">
        <v>5</v>
      </c>
      <c r="J356" s="2">
        <v>342</v>
      </c>
      <c r="K356" t="s">
        <v>321</v>
      </c>
      <c r="L356" s="2">
        <f>Table4[[#This Row],[total_amount]]*Table4[[#This Row],[refund_count]]</f>
        <v>0</v>
      </c>
      <c r="M356">
        <v>0</v>
      </c>
    </row>
    <row r="357" spans="1:13" x14ac:dyDescent="0.35">
      <c r="A357">
        <v>1356</v>
      </c>
      <c r="B357" s="1">
        <v>45792</v>
      </c>
      <c r="C357">
        <v>3</v>
      </c>
      <c r="D357">
        <v>156</v>
      </c>
      <c r="E357">
        <v>9</v>
      </c>
      <c r="F357">
        <v>1</v>
      </c>
      <c r="G357" s="2">
        <f>Table4[[#This Row],[gross_amount]]/Table4[[#This Row],[quantity]]</f>
        <v>200</v>
      </c>
      <c r="H357" s="2">
        <f>Table4[[#This Row],[total_amount]]/(1-Table4[[#This Row],[discount_pct]]/100)</f>
        <v>200</v>
      </c>
      <c r="I357">
        <v>10</v>
      </c>
      <c r="J357" s="2">
        <v>180</v>
      </c>
      <c r="K357" t="s">
        <v>322</v>
      </c>
      <c r="L357" s="2">
        <f>Table4[[#This Row],[total_amount]]*Table4[[#This Row],[refund_count]]</f>
        <v>0</v>
      </c>
      <c r="M357">
        <v>0</v>
      </c>
    </row>
    <row r="358" spans="1:13" x14ac:dyDescent="0.35">
      <c r="A358">
        <v>1357</v>
      </c>
      <c r="B358" s="1">
        <v>45823</v>
      </c>
      <c r="C358">
        <v>7</v>
      </c>
      <c r="D358">
        <v>116</v>
      </c>
      <c r="E358">
        <v>14</v>
      </c>
      <c r="F358">
        <v>3</v>
      </c>
      <c r="G358" s="2">
        <f>Table4[[#This Row],[gross_amount]]/Table4[[#This Row],[quantity]]</f>
        <v>200</v>
      </c>
      <c r="H358" s="2">
        <f>Table4[[#This Row],[total_amount]]/(1-Table4[[#This Row],[discount_pct]]/100)</f>
        <v>600</v>
      </c>
      <c r="I358">
        <v>0</v>
      </c>
      <c r="J358" s="2">
        <v>600</v>
      </c>
      <c r="K358" t="s">
        <v>320</v>
      </c>
      <c r="L358" s="2">
        <f>Table4[[#This Row],[total_amount]]*Table4[[#This Row],[refund_count]]</f>
        <v>0</v>
      </c>
      <c r="M358">
        <v>0</v>
      </c>
    </row>
    <row r="359" spans="1:13" x14ac:dyDescent="0.35">
      <c r="A359">
        <v>1358</v>
      </c>
      <c r="B359" s="1">
        <v>45823</v>
      </c>
      <c r="C359">
        <v>10</v>
      </c>
      <c r="D359">
        <v>221</v>
      </c>
      <c r="E359">
        <v>12</v>
      </c>
      <c r="F359">
        <v>3</v>
      </c>
      <c r="G359" s="2">
        <f>Table4[[#This Row],[gross_amount]]/Table4[[#This Row],[quantity]]</f>
        <v>120</v>
      </c>
      <c r="H359" s="2">
        <f>Table4[[#This Row],[total_amount]]/(1-Table4[[#This Row],[discount_pct]]/100)</f>
        <v>360</v>
      </c>
      <c r="I359">
        <v>10</v>
      </c>
      <c r="J359" s="2">
        <v>324</v>
      </c>
      <c r="K359" t="s">
        <v>320</v>
      </c>
      <c r="L359" s="2">
        <f>Table4[[#This Row],[total_amount]]*Table4[[#This Row],[refund_count]]</f>
        <v>0</v>
      </c>
      <c r="M359">
        <v>0</v>
      </c>
    </row>
    <row r="360" spans="1:13" x14ac:dyDescent="0.35">
      <c r="A360">
        <v>1359</v>
      </c>
      <c r="B360" s="1">
        <v>45823</v>
      </c>
      <c r="C360">
        <v>10</v>
      </c>
      <c r="D360">
        <v>59</v>
      </c>
      <c r="E360">
        <v>7</v>
      </c>
      <c r="F360">
        <v>3</v>
      </c>
      <c r="G360" s="2">
        <f>Table4[[#This Row],[gross_amount]]/Table4[[#This Row],[quantity]]</f>
        <v>160</v>
      </c>
      <c r="H360" s="2">
        <f>Table4[[#This Row],[total_amount]]/(1-Table4[[#This Row],[discount_pct]]/100)</f>
        <v>480</v>
      </c>
      <c r="I360">
        <v>5</v>
      </c>
      <c r="J360" s="2">
        <v>456</v>
      </c>
      <c r="K360" t="s">
        <v>321</v>
      </c>
      <c r="L360" s="2">
        <f>Table4[[#This Row],[total_amount]]*Table4[[#This Row],[refund_count]]</f>
        <v>0</v>
      </c>
      <c r="M360">
        <v>0</v>
      </c>
    </row>
    <row r="361" spans="1:13" x14ac:dyDescent="0.35">
      <c r="A361">
        <v>1360</v>
      </c>
      <c r="B361" s="1">
        <v>45823</v>
      </c>
      <c r="C361">
        <v>3</v>
      </c>
      <c r="D361">
        <v>208</v>
      </c>
      <c r="E361">
        <v>4</v>
      </c>
      <c r="F361">
        <v>1</v>
      </c>
      <c r="G361" s="2">
        <f>Table4[[#This Row],[gross_amount]]/Table4[[#This Row],[quantity]]</f>
        <v>200</v>
      </c>
      <c r="H361" s="2">
        <f>Table4[[#This Row],[total_amount]]/(1-Table4[[#This Row],[discount_pct]]/100)</f>
        <v>200</v>
      </c>
      <c r="I361">
        <v>10</v>
      </c>
      <c r="J361" s="2">
        <v>180</v>
      </c>
      <c r="K361" t="s">
        <v>320</v>
      </c>
      <c r="L361" s="2">
        <f>Table4[[#This Row],[total_amount]]*Table4[[#This Row],[refund_count]]</f>
        <v>0</v>
      </c>
      <c r="M361">
        <v>0</v>
      </c>
    </row>
    <row r="362" spans="1:13" x14ac:dyDescent="0.35">
      <c r="A362">
        <v>1361</v>
      </c>
      <c r="B362" s="1">
        <v>45854</v>
      </c>
      <c r="C362">
        <v>5</v>
      </c>
      <c r="D362">
        <v>229</v>
      </c>
      <c r="E362">
        <v>7</v>
      </c>
      <c r="F362">
        <v>1</v>
      </c>
      <c r="G362" s="2">
        <f>Table4[[#This Row],[gross_amount]]/Table4[[#This Row],[quantity]]</f>
        <v>200</v>
      </c>
      <c r="H362" s="2">
        <f>Table4[[#This Row],[total_amount]]/(1-Table4[[#This Row],[discount_pct]]/100)</f>
        <v>200</v>
      </c>
      <c r="I362">
        <v>20</v>
      </c>
      <c r="J362" s="2">
        <v>160</v>
      </c>
      <c r="K362" t="s">
        <v>255</v>
      </c>
      <c r="L362" s="2">
        <f>Table4[[#This Row],[total_amount]]*Table4[[#This Row],[refund_count]]</f>
        <v>0</v>
      </c>
      <c r="M362">
        <v>0</v>
      </c>
    </row>
    <row r="363" spans="1:13" x14ac:dyDescent="0.35">
      <c r="A363">
        <v>1362</v>
      </c>
      <c r="B363" s="1">
        <v>45854</v>
      </c>
      <c r="C363">
        <v>1</v>
      </c>
      <c r="D363">
        <v>149</v>
      </c>
      <c r="E363">
        <v>19</v>
      </c>
      <c r="F363">
        <v>2</v>
      </c>
      <c r="G363" s="2">
        <f>Table4[[#This Row],[gross_amount]]/Table4[[#This Row],[quantity]]</f>
        <v>150</v>
      </c>
      <c r="H363" s="2">
        <f>Table4[[#This Row],[total_amount]]/(1-Table4[[#This Row],[discount_pct]]/100)</f>
        <v>300</v>
      </c>
      <c r="I363">
        <v>0</v>
      </c>
      <c r="J363" s="2">
        <v>300</v>
      </c>
      <c r="K363" t="s">
        <v>322</v>
      </c>
      <c r="L363" s="2">
        <f>Table4[[#This Row],[total_amount]]*Table4[[#This Row],[refund_count]]</f>
        <v>0</v>
      </c>
      <c r="M363">
        <v>0</v>
      </c>
    </row>
    <row r="364" spans="1:13" x14ac:dyDescent="0.35">
      <c r="A364">
        <v>1363</v>
      </c>
      <c r="B364" s="1">
        <v>45854</v>
      </c>
      <c r="C364">
        <v>10</v>
      </c>
      <c r="D364">
        <v>210</v>
      </c>
      <c r="E364">
        <v>5</v>
      </c>
      <c r="F364">
        <v>2</v>
      </c>
      <c r="G364" s="2">
        <f>Table4[[#This Row],[gross_amount]]/Table4[[#This Row],[quantity]]</f>
        <v>160</v>
      </c>
      <c r="H364" s="2">
        <f>Table4[[#This Row],[total_amount]]/(1-Table4[[#This Row],[discount_pct]]/100)</f>
        <v>320</v>
      </c>
      <c r="I364">
        <v>5</v>
      </c>
      <c r="J364" s="2">
        <v>304</v>
      </c>
      <c r="K364" t="s">
        <v>322</v>
      </c>
      <c r="L364" s="2">
        <f>Table4[[#This Row],[total_amount]]*Table4[[#This Row],[refund_count]]</f>
        <v>0</v>
      </c>
      <c r="M364">
        <v>0</v>
      </c>
    </row>
    <row r="365" spans="1:13" x14ac:dyDescent="0.35">
      <c r="A365">
        <v>1364</v>
      </c>
      <c r="B365" s="1">
        <v>45854</v>
      </c>
      <c r="C365">
        <v>10</v>
      </c>
      <c r="D365">
        <v>92</v>
      </c>
      <c r="E365">
        <v>19</v>
      </c>
      <c r="F365">
        <v>3</v>
      </c>
      <c r="G365" s="2">
        <f>Table4[[#This Row],[gross_amount]]/Table4[[#This Row],[quantity]]</f>
        <v>150</v>
      </c>
      <c r="H365" s="2">
        <f>Table4[[#This Row],[total_amount]]/(1-Table4[[#This Row],[discount_pct]]/100)</f>
        <v>450</v>
      </c>
      <c r="I365">
        <v>0</v>
      </c>
      <c r="J365" s="2">
        <v>450</v>
      </c>
      <c r="K365" t="s">
        <v>321</v>
      </c>
      <c r="L365" s="2">
        <f>Table4[[#This Row],[total_amount]]*Table4[[#This Row],[refund_count]]</f>
        <v>0</v>
      </c>
      <c r="M365">
        <v>0</v>
      </c>
    </row>
    <row r="366" spans="1:13" x14ac:dyDescent="0.35">
      <c r="A366">
        <v>1365</v>
      </c>
      <c r="B366" s="1">
        <v>45885</v>
      </c>
      <c r="C366">
        <v>2</v>
      </c>
      <c r="D366">
        <v>52</v>
      </c>
      <c r="E366">
        <v>6</v>
      </c>
      <c r="F366">
        <v>3</v>
      </c>
      <c r="G366" s="2">
        <f>Table4[[#This Row],[gross_amount]]/Table4[[#This Row],[quantity]]</f>
        <v>120</v>
      </c>
      <c r="H366" s="2">
        <f>Table4[[#This Row],[total_amount]]/(1-Table4[[#This Row],[discount_pct]]/100)</f>
        <v>360</v>
      </c>
      <c r="I366">
        <v>0</v>
      </c>
      <c r="J366" s="2">
        <v>360</v>
      </c>
      <c r="K366" t="s">
        <v>321</v>
      </c>
      <c r="L366" s="2">
        <f>Table4[[#This Row],[total_amount]]*Table4[[#This Row],[refund_count]]</f>
        <v>0</v>
      </c>
      <c r="M366">
        <v>0</v>
      </c>
    </row>
    <row r="367" spans="1:13" x14ac:dyDescent="0.35">
      <c r="A367">
        <v>1366</v>
      </c>
      <c r="B367" s="1">
        <v>45885</v>
      </c>
      <c r="C367">
        <v>9</v>
      </c>
      <c r="D367">
        <v>58</v>
      </c>
      <c r="E367">
        <v>5</v>
      </c>
      <c r="F367">
        <v>1</v>
      </c>
      <c r="G367" s="2">
        <f>Table4[[#This Row],[gross_amount]]/Table4[[#This Row],[quantity]]</f>
        <v>200</v>
      </c>
      <c r="H367" s="2">
        <f>Table4[[#This Row],[total_amount]]/(1-Table4[[#This Row],[discount_pct]]/100)</f>
        <v>200</v>
      </c>
      <c r="I367">
        <v>0</v>
      </c>
      <c r="J367" s="2">
        <v>200</v>
      </c>
      <c r="K367" t="s">
        <v>322</v>
      </c>
      <c r="L367" s="2">
        <f>Table4[[#This Row],[total_amount]]*Table4[[#This Row],[refund_count]]</f>
        <v>0</v>
      </c>
      <c r="M367">
        <v>0</v>
      </c>
    </row>
    <row r="368" spans="1:13" x14ac:dyDescent="0.35">
      <c r="A368">
        <v>1367</v>
      </c>
      <c r="B368" s="1">
        <v>45885</v>
      </c>
      <c r="C368">
        <v>7</v>
      </c>
      <c r="D368">
        <v>123</v>
      </c>
      <c r="E368">
        <v>12</v>
      </c>
      <c r="F368">
        <v>1</v>
      </c>
      <c r="G368" s="2">
        <f>Table4[[#This Row],[gross_amount]]/Table4[[#This Row],[quantity]]</f>
        <v>240</v>
      </c>
      <c r="H368" s="2">
        <f>Table4[[#This Row],[total_amount]]/(1-Table4[[#This Row],[discount_pct]]/100)</f>
        <v>240</v>
      </c>
      <c r="I368">
        <v>15</v>
      </c>
      <c r="J368" s="2">
        <v>204</v>
      </c>
      <c r="K368" t="s">
        <v>322</v>
      </c>
      <c r="L368" s="2">
        <f>Table4[[#This Row],[total_amount]]*Table4[[#This Row],[refund_count]]</f>
        <v>0</v>
      </c>
      <c r="M368">
        <v>0</v>
      </c>
    </row>
    <row r="369" spans="1:13" x14ac:dyDescent="0.35">
      <c r="A369">
        <v>1368</v>
      </c>
      <c r="B369" s="1">
        <v>45885</v>
      </c>
      <c r="C369">
        <v>7</v>
      </c>
      <c r="D369">
        <v>219</v>
      </c>
      <c r="E369">
        <v>7</v>
      </c>
      <c r="F369">
        <v>1</v>
      </c>
      <c r="G369" s="2">
        <f>Table4[[#This Row],[gross_amount]]/Table4[[#This Row],[quantity]]</f>
        <v>200</v>
      </c>
      <c r="H369" s="2">
        <f>Table4[[#This Row],[total_amount]]/(1-Table4[[#This Row],[discount_pct]]/100)</f>
        <v>200</v>
      </c>
      <c r="I369">
        <v>20</v>
      </c>
      <c r="J369" s="2">
        <v>160</v>
      </c>
      <c r="K369" t="s">
        <v>322</v>
      </c>
      <c r="L369" s="2">
        <f>Table4[[#This Row],[total_amount]]*Table4[[#This Row],[refund_count]]</f>
        <v>0</v>
      </c>
      <c r="M369">
        <v>0</v>
      </c>
    </row>
    <row r="370" spans="1:13" x14ac:dyDescent="0.35">
      <c r="A370">
        <v>1369</v>
      </c>
      <c r="B370" s="1">
        <v>45916</v>
      </c>
      <c r="C370">
        <v>10</v>
      </c>
      <c r="D370">
        <v>3</v>
      </c>
      <c r="E370">
        <v>2</v>
      </c>
      <c r="F370">
        <v>2</v>
      </c>
      <c r="G370" s="2">
        <f>Table4[[#This Row],[gross_amount]]/Table4[[#This Row],[quantity]]</f>
        <v>180</v>
      </c>
      <c r="H370" s="2">
        <f>Table4[[#This Row],[total_amount]]/(1-Table4[[#This Row],[discount_pct]]/100)</f>
        <v>360</v>
      </c>
      <c r="I370">
        <v>10</v>
      </c>
      <c r="J370" s="2">
        <v>324</v>
      </c>
      <c r="K370" t="s">
        <v>321</v>
      </c>
      <c r="L370" s="2">
        <f>Table4[[#This Row],[total_amount]]*Table4[[#This Row],[refund_count]]</f>
        <v>0</v>
      </c>
      <c r="M370">
        <v>0</v>
      </c>
    </row>
    <row r="371" spans="1:13" x14ac:dyDescent="0.35">
      <c r="A371">
        <v>1370</v>
      </c>
      <c r="B371" s="1">
        <v>45916</v>
      </c>
      <c r="C371">
        <v>7</v>
      </c>
      <c r="D371">
        <v>199</v>
      </c>
      <c r="E371">
        <v>4</v>
      </c>
      <c r="F371">
        <v>3</v>
      </c>
      <c r="G371" s="2">
        <f>Table4[[#This Row],[gross_amount]]/Table4[[#This Row],[quantity]]</f>
        <v>160</v>
      </c>
      <c r="H371" s="2">
        <f>Table4[[#This Row],[total_amount]]/(1-Table4[[#This Row],[discount_pct]]/100)</f>
        <v>480</v>
      </c>
      <c r="I371">
        <v>20</v>
      </c>
      <c r="J371" s="2">
        <v>384</v>
      </c>
      <c r="K371" t="s">
        <v>320</v>
      </c>
      <c r="L371" s="2">
        <f>Table4[[#This Row],[total_amount]]*Table4[[#This Row],[refund_count]]</f>
        <v>0</v>
      </c>
      <c r="M371">
        <v>0</v>
      </c>
    </row>
    <row r="372" spans="1:13" x14ac:dyDescent="0.35">
      <c r="A372">
        <v>1371</v>
      </c>
      <c r="B372" s="1">
        <v>45916</v>
      </c>
      <c r="C372">
        <v>2</v>
      </c>
      <c r="D372">
        <v>82</v>
      </c>
      <c r="E372">
        <v>1</v>
      </c>
      <c r="F372">
        <v>2</v>
      </c>
      <c r="G372" s="2">
        <f>Table4[[#This Row],[gross_amount]]/Table4[[#This Row],[quantity]]</f>
        <v>200</v>
      </c>
      <c r="H372" s="2">
        <f>Table4[[#This Row],[total_amount]]/(1-Table4[[#This Row],[discount_pct]]/100)</f>
        <v>400</v>
      </c>
      <c r="I372">
        <v>0</v>
      </c>
      <c r="J372" s="2">
        <v>400</v>
      </c>
      <c r="K372" t="s">
        <v>322</v>
      </c>
      <c r="L372" s="2">
        <f>Table4[[#This Row],[total_amount]]*Table4[[#This Row],[refund_count]]</f>
        <v>0</v>
      </c>
      <c r="M372">
        <v>0</v>
      </c>
    </row>
    <row r="373" spans="1:13" x14ac:dyDescent="0.35">
      <c r="A373">
        <v>1372</v>
      </c>
      <c r="B373" s="1">
        <v>45916</v>
      </c>
      <c r="C373">
        <v>9</v>
      </c>
      <c r="D373">
        <v>62</v>
      </c>
      <c r="E373">
        <v>5</v>
      </c>
      <c r="F373">
        <v>3</v>
      </c>
      <c r="G373" s="2">
        <f>Table4[[#This Row],[gross_amount]]/Table4[[#This Row],[quantity]]</f>
        <v>160</v>
      </c>
      <c r="H373" s="2">
        <f>Table4[[#This Row],[total_amount]]/(1-Table4[[#This Row],[discount_pct]]/100)</f>
        <v>480</v>
      </c>
      <c r="I373">
        <v>15</v>
      </c>
      <c r="J373" s="2">
        <v>408</v>
      </c>
      <c r="K373" t="s">
        <v>321</v>
      </c>
      <c r="L373" s="2">
        <f>Table4[[#This Row],[total_amount]]*Table4[[#This Row],[refund_count]]</f>
        <v>0</v>
      </c>
      <c r="M373">
        <v>0</v>
      </c>
    </row>
    <row r="374" spans="1:13" x14ac:dyDescent="0.35">
      <c r="A374">
        <v>1373</v>
      </c>
      <c r="B374" s="1">
        <v>45946</v>
      </c>
      <c r="C374">
        <v>6</v>
      </c>
      <c r="D374">
        <v>179</v>
      </c>
      <c r="E374">
        <v>6</v>
      </c>
      <c r="F374">
        <v>1</v>
      </c>
      <c r="G374" s="2">
        <f>Table4[[#This Row],[gross_amount]]/Table4[[#This Row],[quantity]]</f>
        <v>180</v>
      </c>
      <c r="H374" s="2">
        <f>Table4[[#This Row],[total_amount]]/(1-Table4[[#This Row],[discount_pct]]/100)</f>
        <v>180</v>
      </c>
      <c r="I374">
        <v>5</v>
      </c>
      <c r="J374" s="2">
        <v>171</v>
      </c>
      <c r="K374" t="s">
        <v>320</v>
      </c>
      <c r="L374" s="2">
        <f>Table4[[#This Row],[total_amount]]*Table4[[#This Row],[refund_count]]</f>
        <v>0</v>
      </c>
      <c r="M374">
        <v>0</v>
      </c>
    </row>
    <row r="375" spans="1:13" x14ac:dyDescent="0.35">
      <c r="A375">
        <v>1374</v>
      </c>
      <c r="B375" s="1">
        <v>45946</v>
      </c>
      <c r="C375">
        <v>9</v>
      </c>
      <c r="D375">
        <v>152</v>
      </c>
      <c r="E375">
        <v>12</v>
      </c>
      <c r="F375">
        <v>1</v>
      </c>
      <c r="G375" s="2">
        <f>Table4[[#This Row],[gross_amount]]/Table4[[#This Row],[quantity]]</f>
        <v>180</v>
      </c>
      <c r="H375" s="2">
        <f>Table4[[#This Row],[total_amount]]/(1-Table4[[#This Row],[discount_pct]]/100)</f>
        <v>180</v>
      </c>
      <c r="I375">
        <v>10</v>
      </c>
      <c r="J375" s="2">
        <v>162</v>
      </c>
      <c r="K375" t="s">
        <v>320</v>
      </c>
      <c r="L375" s="2">
        <f>Table4[[#This Row],[total_amount]]*Table4[[#This Row],[refund_count]]</f>
        <v>0</v>
      </c>
      <c r="M375">
        <v>0</v>
      </c>
    </row>
    <row r="376" spans="1:13" x14ac:dyDescent="0.35">
      <c r="A376">
        <v>1375</v>
      </c>
      <c r="B376" s="1">
        <v>45946</v>
      </c>
      <c r="C376">
        <v>2</v>
      </c>
      <c r="D376">
        <v>156</v>
      </c>
      <c r="E376">
        <v>7</v>
      </c>
      <c r="F376">
        <v>3</v>
      </c>
      <c r="G376" s="2">
        <f>Table4[[#This Row],[gross_amount]]/Table4[[#This Row],[quantity]]</f>
        <v>200</v>
      </c>
      <c r="H376" s="2">
        <f>Table4[[#This Row],[total_amount]]/(1-Table4[[#This Row],[discount_pct]]/100)</f>
        <v>600</v>
      </c>
      <c r="I376">
        <v>0</v>
      </c>
      <c r="J376" s="2">
        <v>600</v>
      </c>
      <c r="K376" t="s">
        <v>320</v>
      </c>
      <c r="L376" s="2">
        <f>Table4[[#This Row],[total_amount]]*Table4[[#This Row],[refund_count]]</f>
        <v>0</v>
      </c>
      <c r="M376">
        <v>0</v>
      </c>
    </row>
    <row r="377" spans="1:13" x14ac:dyDescent="0.35">
      <c r="A377">
        <v>1376</v>
      </c>
      <c r="B377" s="1">
        <v>45946</v>
      </c>
      <c r="C377">
        <v>4</v>
      </c>
      <c r="D377">
        <v>16</v>
      </c>
      <c r="E377">
        <v>18</v>
      </c>
      <c r="F377">
        <v>2</v>
      </c>
      <c r="G377" s="2">
        <f>Table4[[#This Row],[gross_amount]]/Table4[[#This Row],[quantity]]</f>
        <v>160</v>
      </c>
      <c r="H377" s="2">
        <f>Table4[[#This Row],[total_amount]]/(1-Table4[[#This Row],[discount_pct]]/100)</f>
        <v>320</v>
      </c>
      <c r="I377">
        <v>20</v>
      </c>
      <c r="J377" s="2">
        <v>256</v>
      </c>
      <c r="K377" t="s">
        <v>320</v>
      </c>
      <c r="L377" s="2">
        <f>Table4[[#This Row],[total_amount]]*Table4[[#This Row],[refund_count]]</f>
        <v>0</v>
      </c>
      <c r="M377">
        <v>0</v>
      </c>
    </row>
    <row r="378" spans="1:13" x14ac:dyDescent="0.35">
      <c r="A378">
        <v>1377</v>
      </c>
      <c r="B378" s="1">
        <v>45977</v>
      </c>
      <c r="C378">
        <v>4</v>
      </c>
      <c r="D378">
        <v>8</v>
      </c>
      <c r="E378">
        <v>17</v>
      </c>
      <c r="F378">
        <v>3</v>
      </c>
      <c r="G378" s="2">
        <f>Table4[[#This Row],[gross_amount]]/Table4[[#This Row],[quantity]]</f>
        <v>133.33333333333334</v>
      </c>
      <c r="H378" s="2">
        <f>Table4[[#This Row],[total_amount]]/(1-Table4[[#This Row],[discount_pct]]/100)</f>
        <v>400</v>
      </c>
      <c r="I378">
        <v>10</v>
      </c>
      <c r="J378" s="2">
        <v>360</v>
      </c>
      <c r="K378" t="s">
        <v>320</v>
      </c>
      <c r="L378" s="2">
        <f>Table4[[#This Row],[total_amount]]*Table4[[#This Row],[refund_count]]</f>
        <v>0</v>
      </c>
      <c r="M378">
        <v>0</v>
      </c>
    </row>
    <row r="379" spans="1:13" x14ac:dyDescent="0.35">
      <c r="A379">
        <v>1378</v>
      </c>
      <c r="B379" s="1">
        <v>45977</v>
      </c>
      <c r="C379">
        <v>6</v>
      </c>
      <c r="D379">
        <v>128</v>
      </c>
      <c r="E379">
        <v>11</v>
      </c>
      <c r="F379">
        <v>2</v>
      </c>
      <c r="G379" s="2">
        <f>Table4[[#This Row],[gross_amount]]/Table4[[#This Row],[quantity]]</f>
        <v>150</v>
      </c>
      <c r="H379" s="2">
        <f>Table4[[#This Row],[total_amount]]/(1-Table4[[#This Row],[discount_pct]]/100)</f>
        <v>300</v>
      </c>
      <c r="I379">
        <v>0</v>
      </c>
      <c r="J379" s="2">
        <v>300</v>
      </c>
      <c r="K379" t="s">
        <v>255</v>
      </c>
      <c r="L379" s="2">
        <f>Table4[[#This Row],[total_amount]]*Table4[[#This Row],[refund_count]]</f>
        <v>0</v>
      </c>
      <c r="M379">
        <v>0</v>
      </c>
    </row>
    <row r="380" spans="1:13" x14ac:dyDescent="0.35">
      <c r="A380">
        <v>1379</v>
      </c>
      <c r="B380" s="1">
        <v>45977</v>
      </c>
      <c r="C380">
        <v>2</v>
      </c>
      <c r="D380">
        <v>231</v>
      </c>
      <c r="E380">
        <v>16</v>
      </c>
      <c r="F380">
        <v>1</v>
      </c>
      <c r="G380" s="2">
        <f>Table4[[#This Row],[gross_amount]]/Table4[[#This Row],[quantity]]</f>
        <v>120</v>
      </c>
      <c r="H380" s="2">
        <f>Table4[[#This Row],[total_amount]]/(1-Table4[[#This Row],[discount_pct]]/100)</f>
        <v>120</v>
      </c>
      <c r="I380">
        <v>0</v>
      </c>
      <c r="J380" s="2">
        <v>120</v>
      </c>
      <c r="K380" t="s">
        <v>320</v>
      </c>
      <c r="L380" s="2">
        <f>Table4[[#This Row],[total_amount]]*Table4[[#This Row],[refund_count]]</f>
        <v>0</v>
      </c>
      <c r="M380">
        <v>0</v>
      </c>
    </row>
    <row r="381" spans="1:13" x14ac:dyDescent="0.35">
      <c r="A381">
        <v>1380</v>
      </c>
      <c r="B381" s="1">
        <v>45977</v>
      </c>
      <c r="C381">
        <v>9</v>
      </c>
      <c r="D381">
        <v>201</v>
      </c>
      <c r="E381">
        <v>3</v>
      </c>
      <c r="F381">
        <v>3</v>
      </c>
      <c r="G381" s="2">
        <f>Table4[[#This Row],[gross_amount]]/Table4[[#This Row],[quantity]]</f>
        <v>180</v>
      </c>
      <c r="H381" s="2">
        <f>Table4[[#This Row],[total_amount]]/(1-Table4[[#This Row],[discount_pct]]/100)</f>
        <v>540</v>
      </c>
      <c r="I381">
        <v>0</v>
      </c>
      <c r="J381" s="2">
        <v>540</v>
      </c>
      <c r="K381" t="s">
        <v>320</v>
      </c>
      <c r="L381" s="2">
        <f>Table4[[#This Row],[total_amount]]*Table4[[#This Row],[refund_count]]</f>
        <v>0</v>
      </c>
      <c r="M381">
        <v>0</v>
      </c>
    </row>
    <row r="382" spans="1:13" x14ac:dyDescent="0.35">
      <c r="A382">
        <v>1381</v>
      </c>
      <c r="B382" s="1">
        <v>46007</v>
      </c>
      <c r="C382">
        <v>4</v>
      </c>
      <c r="D382">
        <v>212</v>
      </c>
      <c r="E382">
        <v>17</v>
      </c>
      <c r="F382">
        <v>1</v>
      </c>
      <c r="G382" s="2">
        <f>Table4[[#This Row],[gross_amount]]/Table4[[#This Row],[quantity]]</f>
        <v>300</v>
      </c>
      <c r="H382" s="2">
        <f>Table4[[#This Row],[total_amount]]/(1-Table4[[#This Row],[discount_pct]]/100)</f>
        <v>300</v>
      </c>
      <c r="I382">
        <v>0</v>
      </c>
      <c r="J382" s="2">
        <v>300</v>
      </c>
      <c r="K382" t="s">
        <v>322</v>
      </c>
      <c r="L382" s="2">
        <f>Table4[[#This Row],[total_amount]]*Table4[[#This Row],[refund_count]]</f>
        <v>0</v>
      </c>
      <c r="M382">
        <v>0</v>
      </c>
    </row>
    <row r="383" spans="1:13" x14ac:dyDescent="0.35">
      <c r="A383">
        <v>1382</v>
      </c>
      <c r="B383" s="1">
        <v>46007</v>
      </c>
      <c r="C383">
        <v>6</v>
      </c>
      <c r="D383">
        <v>95</v>
      </c>
      <c r="E383">
        <v>3</v>
      </c>
      <c r="F383">
        <v>2</v>
      </c>
      <c r="G383" s="2">
        <f>Table4[[#This Row],[gross_amount]]/Table4[[#This Row],[quantity]]</f>
        <v>180</v>
      </c>
      <c r="H383" s="2">
        <f>Table4[[#This Row],[total_amount]]/(1-Table4[[#This Row],[discount_pct]]/100)</f>
        <v>360</v>
      </c>
      <c r="I383">
        <v>5</v>
      </c>
      <c r="J383" s="2">
        <v>342</v>
      </c>
      <c r="K383" t="s">
        <v>322</v>
      </c>
      <c r="L383" s="2">
        <f>Table4[[#This Row],[total_amount]]*Table4[[#This Row],[refund_count]]</f>
        <v>0</v>
      </c>
      <c r="M383">
        <v>0</v>
      </c>
    </row>
    <row r="384" spans="1:13" x14ac:dyDescent="0.35">
      <c r="A384">
        <v>1383</v>
      </c>
      <c r="B384" s="1">
        <v>46007</v>
      </c>
      <c r="C384">
        <v>6</v>
      </c>
      <c r="D384">
        <v>106</v>
      </c>
      <c r="E384">
        <v>2</v>
      </c>
      <c r="F384">
        <v>3</v>
      </c>
      <c r="G384" s="2">
        <f>Table4[[#This Row],[gross_amount]]/Table4[[#This Row],[quantity]]</f>
        <v>120</v>
      </c>
      <c r="H384" s="2">
        <f>Table4[[#This Row],[total_amount]]/(1-Table4[[#This Row],[discount_pct]]/100)</f>
        <v>360</v>
      </c>
      <c r="I384">
        <v>0</v>
      </c>
      <c r="J384" s="2">
        <v>360</v>
      </c>
      <c r="K384" t="s">
        <v>321</v>
      </c>
      <c r="L384" s="2">
        <f>Table4[[#This Row],[total_amount]]*Table4[[#This Row],[refund_count]]</f>
        <v>0</v>
      </c>
      <c r="M384">
        <v>0</v>
      </c>
    </row>
    <row r="385" spans="1:13" x14ac:dyDescent="0.35">
      <c r="A385">
        <v>1384</v>
      </c>
      <c r="B385" s="1">
        <v>46007</v>
      </c>
      <c r="C385">
        <v>2</v>
      </c>
      <c r="D385">
        <v>115</v>
      </c>
      <c r="E385">
        <v>7</v>
      </c>
      <c r="F385">
        <v>1</v>
      </c>
      <c r="G385" s="2">
        <f>Table4[[#This Row],[gross_amount]]/Table4[[#This Row],[quantity]]</f>
        <v>200</v>
      </c>
      <c r="H385" s="2">
        <f>Table4[[#This Row],[total_amount]]/(1-Table4[[#This Row],[discount_pct]]/100)</f>
        <v>200</v>
      </c>
      <c r="I385">
        <v>10</v>
      </c>
      <c r="J385" s="2">
        <v>180</v>
      </c>
      <c r="K385" t="s">
        <v>320</v>
      </c>
      <c r="L385" s="2">
        <f>Table4[[#This Row],[total_amount]]*Table4[[#This Row],[refund_count]]</f>
        <v>0</v>
      </c>
      <c r="M385">
        <v>0</v>
      </c>
    </row>
    <row r="386" spans="1:13" x14ac:dyDescent="0.35">
      <c r="A386">
        <v>1385</v>
      </c>
      <c r="B386" s="1">
        <v>45674</v>
      </c>
      <c r="C386">
        <v>4</v>
      </c>
      <c r="D386">
        <v>88</v>
      </c>
      <c r="E386">
        <v>20</v>
      </c>
      <c r="F386">
        <v>3</v>
      </c>
      <c r="G386" s="2">
        <f>Table4[[#This Row],[gross_amount]]/Table4[[#This Row],[quantity]]</f>
        <v>160</v>
      </c>
      <c r="H386" s="2">
        <f>Table4[[#This Row],[total_amount]]/(1-Table4[[#This Row],[discount_pct]]/100)</f>
        <v>480</v>
      </c>
      <c r="I386">
        <v>15</v>
      </c>
      <c r="J386" s="2">
        <v>408</v>
      </c>
      <c r="K386" t="s">
        <v>322</v>
      </c>
      <c r="L386" s="2">
        <f>Table4[[#This Row],[total_amount]]*Table4[[#This Row],[refund_count]]</f>
        <v>0</v>
      </c>
      <c r="M386">
        <v>0</v>
      </c>
    </row>
    <row r="387" spans="1:13" x14ac:dyDescent="0.35">
      <c r="A387">
        <v>1386</v>
      </c>
      <c r="B387" s="1">
        <v>45674</v>
      </c>
      <c r="C387">
        <v>4</v>
      </c>
      <c r="D387">
        <v>138</v>
      </c>
      <c r="E387">
        <v>13</v>
      </c>
      <c r="F387">
        <v>3</v>
      </c>
      <c r="G387" s="2">
        <f>Table4[[#This Row],[gross_amount]]/Table4[[#This Row],[quantity]]</f>
        <v>160</v>
      </c>
      <c r="H387" s="2">
        <f>Table4[[#This Row],[total_amount]]/(1-Table4[[#This Row],[discount_pct]]/100)</f>
        <v>480</v>
      </c>
      <c r="I387">
        <v>15</v>
      </c>
      <c r="J387" s="2">
        <v>408</v>
      </c>
      <c r="K387" t="s">
        <v>322</v>
      </c>
      <c r="L387" s="2">
        <f>Table4[[#This Row],[total_amount]]*Table4[[#This Row],[refund_count]]</f>
        <v>0</v>
      </c>
      <c r="M387">
        <v>0</v>
      </c>
    </row>
    <row r="388" spans="1:13" x14ac:dyDescent="0.35">
      <c r="A388">
        <v>1387</v>
      </c>
      <c r="B388" s="1">
        <v>45674</v>
      </c>
      <c r="C388">
        <v>3</v>
      </c>
      <c r="D388">
        <v>141</v>
      </c>
      <c r="E388">
        <v>12</v>
      </c>
      <c r="F388">
        <v>2</v>
      </c>
      <c r="G388" s="2">
        <f>Table4[[#This Row],[gross_amount]]/Table4[[#This Row],[quantity]]</f>
        <v>190</v>
      </c>
      <c r="H388" s="2">
        <f>Table4[[#This Row],[total_amount]]/(1-Table4[[#This Row],[discount_pct]]/100)</f>
        <v>380</v>
      </c>
      <c r="I388">
        <v>0</v>
      </c>
      <c r="J388" s="2">
        <v>380</v>
      </c>
      <c r="K388" t="s">
        <v>320</v>
      </c>
      <c r="L388" s="2">
        <f>Table4[[#This Row],[total_amount]]*Table4[[#This Row],[refund_count]]</f>
        <v>0</v>
      </c>
      <c r="M388">
        <v>0</v>
      </c>
    </row>
    <row r="389" spans="1:13" x14ac:dyDescent="0.35">
      <c r="A389">
        <v>1388</v>
      </c>
      <c r="B389" s="1">
        <v>45674</v>
      </c>
      <c r="C389">
        <v>10</v>
      </c>
      <c r="D389">
        <v>74</v>
      </c>
      <c r="E389">
        <v>7</v>
      </c>
      <c r="F389">
        <v>1</v>
      </c>
      <c r="G389" s="2">
        <f>Table4[[#This Row],[gross_amount]]/Table4[[#This Row],[quantity]]</f>
        <v>200</v>
      </c>
      <c r="H389" s="2">
        <f>Table4[[#This Row],[total_amount]]/(1-Table4[[#This Row],[discount_pct]]/100)</f>
        <v>200</v>
      </c>
      <c r="I389">
        <v>15</v>
      </c>
      <c r="J389" s="2">
        <v>170</v>
      </c>
      <c r="K389" t="s">
        <v>322</v>
      </c>
      <c r="L389" s="2">
        <f>Table4[[#This Row],[total_amount]]*Table4[[#This Row],[refund_count]]</f>
        <v>0</v>
      </c>
      <c r="M389">
        <v>0</v>
      </c>
    </row>
    <row r="390" spans="1:13" x14ac:dyDescent="0.35">
      <c r="A390">
        <v>1389</v>
      </c>
      <c r="B390" s="1">
        <v>45705</v>
      </c>
      <c r="C390">
        <v>6</v>
      </c>
      <c r="D390">
        <v>100</v>
      </c>
      <c r="E390">
        <v>19</v>
      </c>
      <c r="F390">
        <v>3</v>
      </c>
      <c r="G390" s="2">
        <f>Table4[[#This Row],[gross_amount]]/Table4[[#This Row],[quantity]]</f>
        <v>133.33333333333334</v>
      </c>
      <c r="H390" s="2">
        <f>Table4[[#This Row],[total_amount]]/(1-Table4[[#This Row],[discount_pct]]/100)</f>
        <v>400</v>
      </c>
      <c r="I390">
        <v>10</v>
      </c>
      <c r="J390" s="2">
        <v>360</v>
      </c>
      <c r="K390" t="s">
        <v>322</v>
      </c>
      <c r="L390" s="2">
        <f>Table4[[#This Row],[total_amount]]*Table4[[#This Row],[refund_count]]</f>
        <v>0</v>
      </c>
      <c r="M390">
        <v>0</v>
      </c>
    </row>
    <row r="391" spans="1:13" x14ac:dyDescent="0.35">
      <c r="A391">
        <v>1390</v>
      </c>
      <c r="B391" s="1">
        <v>45705</v>
      </c>
      <c r="C391">
        <v>7</v>
      </c>
      <c r="D391">
        <v>64</v>
      </c>
      <c r="E391">
        <v>7</v>
      </c>
      <c r="F391">
        <v>3</v>
      </c>
      <c r="G391" s="2">
        <f>Table4[[#This Row],[gross_amount]]/Table4[[#This Row],[quantity]]</f>
        <v>113.33333333333333</v>
      </c>
      <c r="H391" s="2">
        <f>Table4[[#This Row],[total_amount]]/(1-Table4[[#This Row],[discount_pct]]/100)</f>
        <v>340</v>
      </c>
      <c r="I391">
        <v>10</v>
      </c>
      <c r="J391" s="2">
        <v>306</v>
      </c>
      <c r="K391" t="s">
        <v>321</v>
      </c>
      <c r="L391" s="2">
        <f>Table4[[#This Row],[total_amount]]*Table4[[#This Row],[refund_count]]</f>
        <v>0</v>
      </c>
      <c r="M391">
        <v>0</v>
      </c>
    </row>
    <row r="392" spans="1:13" x14ac:dyDescent="0.35">
      <c r="A392">
        <v>1391</v>
      </c>
      <c r="B392" s="1">
        <v>45705</v>
      </c>
      <c r="C392">
        <v>7</v>
      </c>
      <c r="D392">
        <v>238</v>
      </c>
      <c r="E392">
        <v>9</v>
      </c>
      <c r="F392">
        <v>2</v>
      </c>
      <c r="G392" s="2">
        <f>Table4[[#This Row],[gross_amount]]/Table4[[#This Row],[quantity]]</f>
        <v>180</v>
      </c>
      <c r="H392" s="2">
        <f>Table4[[#This Row],[total_amount]]/(1-Table4[[#This Row],[discount_pct]]/100)</f>
        <v>360</v>
      </c>
      <c r="I392">
        <v>10</v>
      </c>
      <c r="J392" s="2">
        <v>324</v>
      </c>
      <c r="K392" t="s">
        <v>320</v>
      </c>
      <c r="L392" s="2">
        <f>Table4[[#This Row],[total_amount]]*Table4[[#This Row],[refund_count]]</f>
        <v>0</v>
      </c>
      <c r="M392">
        <v>0</v>
      </c>
    </row>
    <row r="393" spans="1:13" x14ac:dyDescent="0.35">
      <c r="A393">
        <v>1392</v>
      </c>
      <c r="B393" s="1">
        <v>45705</v>
      </c>
      <c r="C393">
        <v>1</v>
      </c>
      <c r="D393">
        <v>200</v>
      </c>
      <c r="E393">
        <v>7</v>
      </c>
      <c r="F393">
        <v>2</v>
      </c>
      <c r="G393" s="2">
        <f>Table4[[#This Row],[gross_amount]]/Table4[[#This Row],[quantity]]</f>
        <v>180</v>
      </c>
      <c r="H393" s="2">
        <f>Table4[[#This Row],[total_amount]]/(1-Table4[[#This Row],[discount_pct]]/100)</f>
        <v>360</v>
      </c>
      <c r="I393">
        <v>5</v>
      </c>
      <c r="J393" s="2">
        <v>342</v>
      </c>
      <c r="K393" t="s">
        <v>320</v>
      </c>
      <c r="L393" s="2">
        <f>Table4[[#This Row],[total_amount]]*Table4[[#This Row],[refund_count]]</f>
        <v>0</v>
      </c>
      <c r="M393">
        <v>0</v>
      </c>
    </row>
    <row r="394" spans="1:13" x14ac:dyDescent="0.35">
      <c r="A394">
        <v>1393</v>
      </c>
      <c r="B394" s="1">
        <v>45733</v>
      </c>
      <c r="C394">
        <v>7</v>
      </c>
      <c r="D394">
        <v>121</v>
      </c>
      <c r="E394">
        <v>7</v>
      </c>
      <c r="F394">
        <v>3</v>
      </c>
      <c r="G394" s="2">
        <f>Table4[[#This Row],[gross_amount]]/Table4[[#This Row],[quantity]]</f>
        <v>113.33333333333333</v>
      </c>
      <c r="H394" s="2">
        <f>Table4[[#This Row],[total_amount]]/(1-Table4[[#This Row],[discount_pct]]/100)</f>
        <v>340</v>
      </c>
      <c r="I394">
        <v>10</v>
      </c>
      <c r="J394" s="2">
        <v>306</v>
      </c>
      <c r="K394" t="s">
        <v>322</v>
      </c>
      <c r="L394" s="2">
        <f>Table4[[#This Row],[total_amount]]*Table4[[#This Row],[refund_count]]</f>
        <v>0</v>
      </c>
      <c r="M394">
        <v>0</v>
      </c>
    </row>
    <row r="395" spans="1:13" x14ac:dyDescent="0.35">
      <c r="A395">
        <v>1394</v>
      </c>
      <c r="B395" s="1">
        <v>45733</v>
      </c>
      <c r="C395">
        <v>2</v>
      </c>
      <c r="D395">
        <v>108</v>
      </c>
      <c r="E395">
        <v>16</v>
      </c>
      <c r="F395">
        <v>2</v>
      </c>
      <c r="G395" s="2">
        <f>Table4[[#This Row],[gross_amount]]/Table4[[#This Row],[quantity]]</f>
        <v>160</v>
      </c>
      <c r="H395" s="2">
        <f>Table4[[#This Row],[total_amount]]/(1-Table4[[#This Row],[discount_pct]]/100)</f>
        <v>320</v>
      </c>
      <c r="I395">
        <v>20</v>
      </c>
      <c r="J395" s="2">
        <v>256</v>
      </c>
      <c r="K395" t="s">
        <v>322</v>
      </c>
      <c r="L395" s="2">
        <f>Table4[[#This Row],[total_amount]]*Table4[[#This Row],[refund_count]]</f>
        <v>0</v>
      </c>
      <c r="M395">
        <v>0</v>
      </c>
    </row>
    <row r="396" spans="1:13" x14ac:dyDescent="0.35">
      <c r="A396">
        <v>1395</v>
      </c>
      <c r="B396" s="1">
        <v>45733</v>
      </c>
      <c r="C396">
        <v>2</v>
      </c>
      <c r="D396">
        <v>122</v>
      </c>
      <c r="E396">
        <v>12</v>
      </c>
      <c r="F396">
        <v>2</v>
      </c>
      <c r="G396" s="2">
        <f>Table4[[#This Row],[gross_amount]]/Table4[[#This Row],[quantity]]</f>
        <v>170</v>
      </c>
      <c r="H396" s="2">
        <f>Table4[[#This Row],[total_amount]]/(1-Table4[[#This Row],[discount_pct]]/100)</f>
        <v>340</v>
      </c>
      <c r="I396">
        <v>20</v>
      </c>
      <c r="J396" s="2">
        <v>272</v>
      </c>
      <c r="K396" t="s">
        <v>320</v>
      </c>
      <c r="L396" s="2">
        <f>Table4[[#This Row],[total_amount]]*Table4[[#This Row],[refund_count]]</f>
        <v>0</v>
      </c>
      <c r="M396">
        <v>0</v>
      </c>
    </row>
    <row r="397" spans="1:13" x14ac:dyDescent="0.35">
      <c r="A397">
        <v>1396</v>
      </c>
      <c r="B397" s="1">
        <v>45733</v>
      </c>
      <c r="C397">
        <v>3</v>
      </c>
      <c r="D397">
        <v>149</v>
      </c>
      <c r="E397">
        <v>14</v>
      </c>
      <c r="F397">
        <v>2</v>
      </c>
      <c r="G397" s="2">
        <f>Table4[[#This Row],[gross_amount]]/Table4[[#This Row],[quantity]]</f>
        <v>180</v>
      </c>
      <c r="H397" s="2">
        <f>Table4[[#This Row],[total_amount]]/(1-Table4[[#This Row],[discount_pct]]/100)</f>
        <v>360</v>
      </c>
      <c r="I397">
        <v>5</v>
      </c>
      <c r="J397" s="2">
        <v>342</v>
      </c>
      <c r="K397" t="s">
        <v>322</v>
      </c>
      <c r="L397" s="2">
        <f>Table4[[#This Row],[total_amount]]*Table4[[#This Row],[refund_count]]</f>
        <v>0</v>
      </c>
      <c r="M397">
        <v>0</v>
      </c>
    </row>
    <row r="398" spans="1:13" x14ac:dyDescent="0.35">
      <c r="A398">
        <v>1397</v>
      </c>
      <c r="B398" s="1">
        <v>45764</v>
      </c>
      <c r="C398">
        <v>6</v>
      </c>
      <c r="D398">
        <v>192</v>
      </c>
      <c r="E398">
        <v>7</v>
      </c>
      <c r="F398">
        <v>3</v>
      </c>
      <c r="G398" s="2">
        <f>Table4[[#This Row],[gross_amount]]/Table4[[#This Row],[quantity]]</f>
        <v>113.33333333333333</v>
      </c>
      <c r="H398" s="2">
        <f>Table4[[#This Row],[total_amount]]/(1-Table4[[#This Row],[discount_pct]]/100)</f>
        <v>340</v>
      </c>
      <c r="I398">
        <v>10</v>
      </c>
      <c r="J398" s="2">
        <v>306</v>
      </c>
      <c r="K398" t="s">
        <v>322</v>
      </c>
      <c r="L398" s="2">
        <f>Table4[[#This Row],[total_amount]]*Table4[[#This Row],[refund_count]]</f>
        <v>0</v>
      </c>
      <c r="M398">
        <v>0</v>
      </c>
    </row>
    <row r="399" spans="1:13" x14ac:dyDescent="0.35">
      <c r="A399">
        <v>1398</v>
      </c>
      <c r="B399" s="1">
        <v>45764</v>
      </c>
      <c r="C399">
        <v>3</v>
      </c>
      <c r="D399">
        <v>193</v>
      </c>
      <c r="E399">
        <v>16</v>
      </c>
      <c r="F399">
        <v>1</v>
      </c>
      <c r="G399" s="2">
        <f>Table4[[#This Row],[gross_amount]]/Table4[[#This Row],[quantity]]</f>
        <v>240</v>
      </c>
      <c r="H399" s="2">
        <f>Table4[[#This Row],[total_amount]]/(1-Table4[[#This Row],[discount_pct]]/100)</f>
        <v>240</v>
      </c>
      <c r="I399">
        <v>15</v>
      </c>
      <c r="J399" s="2">
        <v>204</v>
      </c>
      <c r="K399" t="s">
        <v>320</v>
      </c>
      <c r="L399" s="2">
        <f>Table4[[#This Row],[total_amount]]*Table4[[#This Row],[refund_count]]</f>
        <v>0</v>
      </c>
      <c r="M399">
        <v>0</v>
      </c>
    </row>
    <row r="400" spans="1:13" x14ac:dyDescent="0.35">
      <c r="A400">
        <v>1399</v>
      </c>
      <c r="B400" s="1">
        <v>45764</v>
      </c>
      <c r="C400">
        <v>6</v>
      </c>
      <c r="D400">
        <v>106</v>
      </c>
      <c r="E400">
        <v>20</v>
      </c>
      <c r="F400">
        <v>1</v>
      </c>
      <c r="G400" s="2">
        <f>Table4[[#This Row],[gross_amount]]/Table4[[#This Row],[quantity]]</f>
        <v>302.22222222222223</v>
      </c>
      <c r="H400" s="2">
        <f>Table4[[#This Row],[total_amount]]/(1-Table4[[#This Row],[discount_pct]]/100)</f>
        <v>302.22222222222223</v>
      </c>
      <c r="I400">
        <v>10</v>
      </c>
      <c r="J400" s="2">
        <v>272</v>
      </c>
      <c r="K400" t="s">
        <v>322</v>
      </c>
      <c r="L400" s="2">
        <f>Table4[[#This Row],[total_amount]]*Table4[[#This Row],[refund_count]]</f>
        <v>0</v>
      </c>
      <c r="M400">
        <v>0</v>
      </c>
    </row>
    <row r="401" spans="1:13" x14ac:dyDescent="0.35">
      <c r="A401">
        <v>1400</v>
      </c>
      <c r="B401" s="1">
        <v>45764</v>
      </c>
      <c r="C401">
        <v>6</v>
      </c>
      <c r="D401">
        <v>199</v>
      </c>
      <c r="E401">
        <v>2</v>
      </c>
      <c r="F401">
        <v>2</v>
      </c>
      <c r="G401" s="2">
        <f>Table4[[#This Row],[gross_amount]]/Table4[[#This Row],[quantity]]</f>
        <v>150</v>
      </c>
      <c r="H401" s="2">
        <f>Table4[[#This Row],[total_amount]]/(1-Table4[[#This Row],[discount_pct]]/100)</f>
        <v>300</v>
      </c>
      <c r="I401">
        <v>0</v>
      </c>
      <c r="J401" s="2">
        <v>300</v>
      </c>
      <c r="K401" t="s">
        <v>320</v>
      </c>
      <c r="L401" s="2">
        <f>Table4[[#This Row],[total_amount]]*Table4[[#This Row],[refund_count]]</f>
        <v>0</v>
      </c>
      <c r="M401">
        <v>0</v>
      </c>
    </row>
    <row r="402" spans="1:13" x14ac:dyDescent="0.35">
      <c r="A402">
        <v>1401</v>
      </c>
      <c r="B402" s="1">
        <v>45794</v>
      </c>
      <c r="C402">
        <v>1</v>
      </c>
      <c r="D402">
        <v>66</v>
      </c>
      <c r="E402">
        <v>4</v>
      </c>
      <c r="F402">
        <v>2</v>
      </c>
      <c r="G402" s="2">
        <f>Table4[[#This Row],[gross_amount]]/Table4[[#This Row],[quantity]]</f>
        <v>180</v>
      </c>
      <c r="H402" s="2">
        <f>Table4[[#This Row],[total_amount]]/(1-Table4[[#This Row],[discount_pct]]/100)</f>
        <v>360</v>
      </c>
      <c r="I402">
        <v>10</v>
      </c>
      <c r="J402" s="2">
        <v>324</v>
      </c>
      <c r="K402" t="s">
        <v>322</v>
      </c>
      <c r="L402" s="2">
        <f>Table4[[#This Row],[total_amount]]*Table4[[#This Row],[refund_count]]</f>
        <v>0</v>
      </c>
      <c r="M402">
        <v>0</v>
      </c>
    </row>
    <row r="403" spans="1:13" x14ac:dyDescent="0.35">
      <c r="A403">
        <v>1402</v>
      </c>
      <c r="B403" s="1">
        <v>45794</v>
      </c>
      <c r="C403">
        <v>3</v>
      </c>
      <c r="D403">
        <v>69</v>
      </c>
      <c r="E403">
        <v>4</v>
      </c>
      <c r="F403">
        <v>2</v>
      </c>
      <c r="G403" s="2">
        <f>Table4[[#This Row],[gross_amount]]/Table4[[#This Row],[quantity]]</f>
        <v>180</v>
      </c>
      <c r="H403" s="2">
        <f>Table4[[#This Row],[total_amount]]/(1-Table4[[#This Row],[discount_pct]]/100)</f>
        <v>360</v>
      </c>
      <c r="I403">
        <v>10</v>
      </c>
      <c r="J403" s="2">
        <v>324</v>
      </c>
      <c r="K403" t="s">
        <v>321</v>
      </c>
      <c r="L403" s="2">
        <f>Table4[[#This Row],[total_amount]]*Table4[[#This Row],[refund_count]]</f>
        <v>0</v>
      </c>
      <c r="M403">
        <v>0</v>
      </c>
    </row>
    <row r="404" spans="1:13" x14ac:dyDescent="0.35">
      <c r="A404">
        <v>1403</v>
      </c>
      <c r="B404" s="1">
        <v>45794</v>
      </c>
      <c r="C404">
        <v>8</v>
      </c>
      <c r="D404">
        <v>173</v>
      </c>
      <c r="E404">
        <v>20</v>
      </c>
      <c r="F404">
        <v>3</v>
      </c>
      <c r="G404" s="2">
        <f>Table4[[#This Row],[gross_amount]]/Table4[[#This Row],[quantity]]</f>
        <v>133.33333333333334</v>
      </c>
      <c r="H404" s="2">
        <f>Table4[[#This Row],[total_amount]]/(1-Table4[[#This Row],[discount_pct]]/100)</f>
        <v>400</v>
      </c>
      <c r="I404">
        <v>10</v>
      </c>
      <c r="J404" s="2">
        <v>360</v>
      </c>
      <c r="K404" t="s">
        <v>255</v>
      </c>
      <c r="L404" s="2">
        <f>Table4[[#This Row],[total_amount]]*Table4[[#This Row],[refund_count]]</f>
        <v>0</v>
      </c>
      <c r="M404">
        <v>0</v>
      </c>
    </row>
    <row r="405" spans="1:13" x14ac:dyDescent="0.35">
      <c r="A405">
        <v>1404</v>
      </c>
      <c r="B405" s="1">
        <v>45794</v>
      </c>
      <c r="C405">
        <v>4</v>
      </c>
      <c r="D405">
        <v>47</v>
      </c>
      <c r="E405">
        <v>8</v>
      </c>
      <c r="F405">
        <v>1</v>
      </c>
      <c r="G405" s="2">
        <f>Table4[[#This Row],[gross_amount]]/Table4[[#This Row],[quantity]]</f>
        <v>340</v>
      </c>
      <c r="H405" s="2">
        <f>Table4[[#This Row],[total_amount]]/(1-Table4[[#This Row],[discount_pct]]/100)</f>
        <v>340</v>
      </c>
      <c r="I405">
        <v>5</v>
      </c>
      <c r="J405" s="2">
        <v>323</v>
      </c>
      <c r="K405" t="s">
        <v>322</v>
      </c>
      <c r="L405" s="2">
        <f>Table4[[#This Row],[total_amount]]*Table4[[#This Row],[refund_count]]</f>
        <v>0</v>
      </c>
      <c r="M405">
        <v>0</v>
      </c>
    </row>
    <row r="406" spans="1:13" x14ac:dyDescent="0.35">
      <c r="A406">
        <v>1405</v>
      </c>
      <c r="B406" s="1">
        <v>45825</v>
      </c>
      <c r="C406">
        <v>10</v>
      </c>
      <c r="D406">
        <v>7</v>
      </c>
      <c r="E406">
        <v>4</v>
      </c>
      <c r="F406">
        <v>2</v>
      </c>
      <c r="G406" s="2">
        <f>Table4[[#This Row],[gross_amount]]/Table4[[#This Row],[quantity]]</f>
        <v>170</v>
      </c>
      <c r="H406" s="2">
        <f>Table4[[#This Row],[total_amount]]/(1-Table4[[#This Row],[discount_pct]]/100)</f>
        <v>340</v>
      </c>
      <c r="I406">
        <v>5</v>
      </c>
      <c r="J406" s="2">
        <v>323</v>
      </c>
      <c r="K406" t="s">
        <v>321</v>
      </c>
      <c r="L406" s="2">
        <f>Table4[[#This Row],[total_amount]]*Table4[[#This Row],[refund_count]]</f>
        <v>0</v>
      </c>
      <c r="M406">
        <v>0</v>
      </c>
    </row>
    <row r="407" spans="1:13" x14ac:dyDescent="0.35">
      <c r="A407">
        <v>1406</v>
      </c>
      <c r="B407" s="1">
        <v>45825</v>
      </c>
      <c r="C407">
        <v>1</v>
      </c>
      <c r="D407">
        <v>208</v>
      </c>
      <c r="E407">
        <v>9</v>
      </c>
      <c r="F407">
        <v>3</v>
      </c>
      <c r="G407" s="2">
        <f>Table4[[#This Row],[gross_amount]]/Table4[[#This Row],[quantity]]</f>
        <v>150</v>
      </c>
      <c r="H407" s="2">
        <f>Table4[[#This Row],[total_amount]]/(1-Table4[[#This Row],[discount_pct]]/100)</f>
        <v>450</v>
      </c>
      <c r="I407">
        <v>0</v>
      </c>
      <c r="J407" s="2">
        <v>450</v>
      </c>
      <c r="K407" t="s">
        <v>321</v>
      </c>
      <c r="L407" s="2">
        <f>Table4[[#This Row],[total_amount]]*Table4[[#This Row],[refund_count]]</f>
        <v>0</v>
      </c>
      <c r="M407">
        <v>0</v>
      </c>
    </row>
    <row r="408" spans="1:13" x14ac:dyDescent="0.35">
      <c r="A408">
        <v>1407</v>
      </c>
      <c r="B408" s="1">
        <v>45825</v>
      </c>
      <c r="C408">
        <v>2</v>
      </c>
      <c r="D408">
        <v>201</v>
      </c>
      <c r="E408">
        <v>13</v>
      </c>
      <c r="F408">
        <v>2</v>
      </c>
      <c r="G408" s="2">
        <f>Table4[[#This Row],[gross_amount]]/Table4[[#This Row],[quantity]]</f>
        <v>180</v>
      </c>
      <c r="H408" s="2">
        <f>Table4[[#This Row],[total_amount]]/(1-Table4[[#This Row],[discount_pct]]/100)</f>
        <v>360</v>
      </c>
      <c r="I408">
        <v>0</v>
      </c>
      <c r="J408" s="2">
        <v>360</v>
      </c>
      <c r="K408" t="s">
        <v>322</v>
      </c>
      <c r="L408" s="2">
        <f>Table4[[#This Row],[total_amount]]*Table4[[#This Row],[refund_count]]</f>
        <v>0</v>
      </c>
      <c r="M408">
        <v>0</v>
      </c>
    </row>
    <row r="409" spans="1:13" x14ac:dyDescent="0.35">
      <c r="A409">
        <v>1408</v>
      </c>
      <c r="B409" s="1">
        <v>45825</v>
      </c>
      <c r="C409">
        <v>9</v>
      </c>
      <c r="D409">
        <v>76</v>
      </c>
      <c r="E409">
        <v>17</v>
      </c>
      <c r="F409">
        <v>3</v>
      </c>
      <c r="G409" s="2">
        <f>Table4[[#This Row],[gross_amount]]/Table4[[#This Row],[quantity]]</f>
        <v>150</v>
      </c>
      <c r="H409" s="2">
        <f>Table4[[#This Row],[total_amount]]/(1-Table4[[#This Row],[discount_pct]]/100)</f>
        <v>450</v>
      </c>
      <c r="I409">
        <v>0</v>
      </c>
      <c r="J409" s="2">
        <v>450</v>
      </c>
      <c r="K409" t="s">
        <v>321</v>
      </c>
      <c r="L409" s="2">
        <f>Table4[[#This Row],[total_amount]]*Table4[[#This Row],[refund_count]]</f>
        <v>0</v>
      </c>
      <c r="M409">
        <v>0</v>
      </c>
    </row>
    <row r="410" spans="1:13" x14ac:dyDescent="0.35">
      <c r="A410">
        <v>1409</v>
      </c>
      <c r="B410" s="1">
        <v>45856</v>
      </c>
      <c r="C410">
        <v>3</v>
      </c>
      <c r="D410">
        <v>119</v>
      </c>
      <c r="E410">
        <v>18</v>
      </c>
      <c r="F410">
        <v>3</v>
      </c>
      <c r="G410" s="2">
        <f>Table4[[#This Row],[gross_amount]]/Table4[[#This Row],[quantity]]</f>
        <v>133.33333333333334</v>
      </c>
      <c r="H410" s="2">
        <f>Table4[[#This Row],[total_amount]]/(1-Table4[[#This Row],[discount_pct]]/100)</f>
        <v>400</v>
      </c>
      <c r="I410">
        <v>10</v>
      </c>
      <c r="J410" s="2">
        <v>360</v>
      </c>
      <c r="K410" t="s">
        <v>320</v>
      </c>
      <c r="L410" s="2">
        <f>Table4[[#This Row],[total_amount]]*Table4[[#This Row],[refund_count]]</f>
        <v>0</v>
      </c>
      <c r="M410">
        <v>0</v>
      </c>
    </row>
    <row r="411" spans="1:13" x14ac:dyDescent="0.35">
      <c r="A411">
        <v>1410</v>
      </c>
      <c r="B411" s="1">
        <v>45856</v>
      </c>
      <c r="C411">
        <v>3</v>
      </c>
      <c r="D411">
        <v>24</v>
      </c>
      <c r="E411">
        <v>10</v>
      </c>
      <c r="F411">
        <v>3</v>
      </c>
      <c r="G411" s="2">
        <f>Table4[[#This Row],[gross_amount]]/Table4[[#This Row],[quantity]]</f>
        <v>160</v>
      </c>
      <c r="H411" s="2">
        <f>Table4[[#This Row],[total_amount]]/(1-Table4[[#This Row],[discount_pct]]/100)</f>
        <v>480</v>
      </c>
      <c r="I411">
        <v>5</v>
      </c>
      <c r="J411" s="2">
        <v>456</v>
      </c>
      <c r="K411" t="s">
        <v>322</v>
      </c>
      <c r="L411" s="2">
        <f>Table4[[#This Row],[total_amount]]*Table4[[#This Row],[refund_count]]</f>
        <v>0</v>
      </c>
      <c r="M411">
        <v>0</v>
      </c>
    </row>
    <row r="412" spans="1:13" x14ac:dyDescent="0.35">
      <c r="A412">
        <v>1411</v>
      </c>
      <c r="B412" s="1">
        <v>45856</v>
      </c>
      <c r="C412">
        <v>2</v>
      </c>
      <c r="D412">
        <v>150</v>
      </c>
      <c r="E412">
        <v>8</v>
      </c>
      <c r="F412">
        <v>1</v>
      </c>
      <c r="G412" s="2">
        <f>Table4[[#This Row],[gross_amount]]/Table4[[#This Row],[quantity]]</f>
        <v>200</v>
      </c>
      <c r="H412" s="2">
        <f>Table4[[#This Row],[total_amount]]/(1-Table4[[#This Row],[discount_pct]]/100)</f>
        <v>200</v>
      </c>
      <c r="I412">
        <v>10</v>
      </c>
      <c r="J412" s="2">
        <v>180</v>
      </c>
      <c r="K412" t="s">
        <v>321</v>
      </c>
      <c r="L412" s="2">
        <f>Table4[[#This Row],[total_amount]]*Table4[[#This Row],[refund_count]]</f>
        <v>0</v>
      </c>
      <c r="M412">
        <v>0</v>
      </c>
    </row>
    <row r="413" spans="1:13" x14ac:dyDescent="0.35">
      <c r="A413">
        <v>1412</v>
      </c>
      <c r="B413" s="1">
        <v>45856</v>
      </c>
      <c r="C413">
        <v>3</v>
      </c>
      <c r="D413">
        <v>21</v>
      </c>
      <c r="E413">
        <v>11</v>
      </c>
      <c r="F413">
        <v>3</v>
      </c>
      <c r="G413" s="2">
        <f>Table4[[#This Row],[gross_amount]]/Table4[[#This Row],[quantity]]</f>
        <v>150</v>
      </c>
      <c r="H413" s="2">
        <f>Table4[[#This Row],[total_amount]]/(1-Table4[[#This Row],[discount_pct]]/100)</f>
        <v>450</v>
      </c>
      <c r="I413">
        <v>0</v>
      </c>
      <c r="J413" s="2">
        <v>450</v>
      </c>
      <c r="K413" t="s">
        <v>320</v>
      </c>
      <c r="L413" s="2">
        <f>Table4[[#This Row],[total_amount]]*Table4[[#This Row],[refund_count]]</f>
        <v>0</v>
      </c>
      <c r="M413">
        <v>0</v>
      </c>
    </row>
    <row r="414" spans="1:13" x14ac:dyDescent="0.35">
      <c r="A414">
        <v>1413</v>
      </c>
      <c r="B414" s="1">
        <v>45887</v>
      </c>
      <c r="C414">
        <v>3</v>
      </c>
      <c r="D414">
        <v>229</v>
      </c>
      <c r="E414">
        <v>8</v>
      </c>
      <c r="F414">
        <v>3</v>
      </c>
      <c r="G414" s="2">
        <f>Table4[[#This Row],[gross_amount]]/Table4[[#This Row],[quantity]]</f>
        <v>160</v>
      </c>
      <c r="H414" s="2">
        <f>Table4[[#This Row],[total_amount]]/(1-Table4[[#This Row],[discount_pct]]/100)</f>
        <v>480</v>
      </c>
      <c r="I414">
        <v>5</v>
      </c>
      <c r="J414" s="2">
        <v>456</v>
      </c>
      <c r="K414" t="s">
        <v>321</v>
      </c>
      <c r="L414" s="2">
        <f>Table4[[#This Row],[total_amount]]*Table4[[#This Row],[refund_count]]</f>
        <v>0</v>
      </c>
      <c r="M414">
        <v>0</v>
      </c>
    </row>
    <row r="415" spans="1:13" x14ac:dyDescent="0.35">
      <c r="A415">
        <v>1414</v>
      </c>
      <c r="B415" s="1">
        <v>45887</v>
      </c>
      <c r="C415">
        <v>1</v>
      </c>
      <c r="D415">
        <v>5</v>
      </c>
      <c r="E415">
        <v>11</v>
      </c>
      <c r="F415">
        <v>1</v>
      </c>
      <c r="G415" s="2">
        <f>Table4[[#This Row],[gross_amount]]/Table4[[#This Row],[quantity]]</f>
        <v>240</v>
      </c>
      <c r="H415" s="2">
        <f>Table4[[#This Row],[total_amount]]/(1-Table4[[#This Row],[discount_pct]]/100)</f>
        <v>240</v>
      </c>
      <c r="I415">
        <v>10</v>
      </c>
      <c r="J415" s="2">
        <v>216</v>
      </c>
      <c r="K415" t="s">
        <v>322</v>
      </c>
      <c r="L415" s="2">
        <f>Table4[[#This Row],[total_amount]]*Table4[[#This Row],[refund_count]]</f>
        <v>0</v>
      </c>
      <c r="M415">
        <v>0</v>
      </c>
    </row>
    <row r="416" spans="1:13" x14ac:dyDescent="0.35">
      <c r="A416">
        <v>1415</v>
      </c>
      <c r="B416" s="1">
        <v>45887</v>
      </c>
      <c r="C416">
        <v>4</v>
      </c>
      <c r="D416">
        <v>22</v>
      </c>
      <c r="E416">
        <v>18</v>
      </c>
      <c r="F416">
        <v>3</v>
      </c>
      <c r="G416" s="2">
        <f>Table4[[#This Row],[gross_amount]]/Table4[[#This Row],[quantity]]</f>
        <v>160</v>
      </c>
      <c r="H416" s="2">
        <f>Table4[[#This Row],[total_amount]]/(1-Table4[[#This Row],[discount_pct]]/100)</f>
        <v>480</v>
      </c>
      <c r="I416">
        <v>5</v>
      </c>
      <c r="J416" s="2">
        <v>456</v>
      </c>
      <c r="K416" t="s">
        <v>320</v>
      </c>
      <c r="L416" s="2">
        <f>Table4[[#This Row],[total_amount]]*Table4[[#This Row],[refund_count]]</f>
        <v>0</v>
      </c>
      <c r="M416">
        <v>0</v>
      </c>
    </row>
    <row r="417" spans="1:13" x14ac:dyDescent="0.35">
      <c r="A417">
        <v>1416</v>
      </c>
      <c r="B417" s="1">
        <v>45887</v>
      </c>
      <c r="C417">
        <v>2</v>
      </c>
      <c r="D417">
        <v>175</v>
      </c>
      <c r="E417">
        <v>6</v>
      </c>
      <c r="F417">
        <v>2</v>
      </c>
      <c r="G417" s="2">
        <f>Table4[[#This Row],[gross_amount]]/Table4[[#This Row],[quantity]]</f>
        <v>170</v>
      </c>
      <c r="H417" s="2">
        <f>Table4[[#This Row],[total_amount]]/(1-Table4[[#This Row],[discount_pct]]/100)</f>
        <v>340</v>
      </c>
      <c r="I417">
        <v>5</v>
      </c>
      <c r="J417" s="2">
        <v>323</v>
      </c>
      <c r="K417" t="s">
        <v>322</v>
      </c>
      <c r="L417" s="2">
        <f>Table4[[#This Row],[total_amount]]*Table4[[#This Row],[refund_count]]</f>
        <v>0</v>
      </c>
      <c r="M417">
        <v>0</v>
      </c>
    </row>
    <row r="418" spans="1:13" x14ac:dyDescent="0.35">
      <c r="A418">
        <v>1417</v>
      </c>
      <c r="B418" s="1">
        <v>45918</v>
      </c>
      <c r="C418">
        <v>2</v>
      </c>
      <c r="D418">
        <v>175</v>
      </c>
      <c r="E418">
        <v>9</v>
      </c>
      <c r="F418">
        <v>3</v>
      </c>
      <c r="G418" s="2">
        <f>Table4[[#This Row],[gross_amount]]/Table4[[#This Row],[quantity]]</f>
        <v>150</v>
      </c>
      <c r="H418" s="2">
        <f>Table4[[#This Row],[total_amount]]/(1-Table4[[#This Row],[discount_pct]]/100)</f>
        <v>450</v>
      </c>
      <c r="I418">
        <v>0</v>
      </c>
      <c r="J418" s="2">
        <v>450</v>
      </c>
      <c r="K418" t="s">
        <v>320</v>
      </c>
      <c r="L418" s="2">
        <f>Table4[[#This Row],[total_amount]]*Table4[[#This Row],[refund_count]]</f>
        <v>0</v>
      </c>
      <c r="M418">
        <v>0</v>
      </c>
    </row>
    <row r="419" spans="1:13" x14ac:dyDescent="0.35">
      <c r="A419">
        <v>1418</v>
      </c>
      <c r="B419" s="1">
        <v>45918</v>
      </c>
      <c r="C419">
        <v>4</v>
      </c>
      <c r="D419">
        <v>75</v>
      </c>
      <c r="E419">
        <v>5</v>
      </c>
      <c r="F419">
        <v>2</v>
      </c>
      <c r="G419" s="2">
        <f>Table4[[#This Row],[gross_amount]]/Table4[[#This Row],[quantity]]</f>
        <v>160</v>
      </c>
      <c r="H419" s="2">
        <f>Table4[[#This Row],[total_amount]]/(1-Table4[[#This Row],[discount_pct]]/100)</f>
        <v>320</v>
      </c>
      <c r="I419">
        <v>10</v>
      </c>
      <c r="J419" s="2">
        <v>288</v>
      </c>
      <c r="K419" t="s">
        <v>322</v>
      </c>
      <c r="L419" s="2">
        <f>Table4[[#This Row],[total_amount]]*Table4[[#This Row],[refund_count]]</f>
        <v>0</v>
      </c>
      <c r="M419">
        <v>0</v>
      </c>
    </row>
    <row r="420" spans="1:13" x14ac:dyDescent="0.35">
      <c r="A420">
        <v>1419</v>
      </c>
      <c r="B420" s="1">
        <v>45918</v>
      </c>
      <c r="C420">
        <v>3</v>
      </c>
      <c r="D420">
        <v>153</v>
      </c>
      <c r="E420">
        <v>12</v>
      </c>
      <c r="F420">
        <v>2</v>
      </c>
      <c r="G420" s="2">
        <f>Table4[[#This Row],[gross_amount]]/Table4[[#This Row],[quantity]]</f>
        <v>190</v>
      </c>
      <c r="H420" s="2">
        <f>Table4[[#This Row],[total_amount]]/(1-Table4[[#This Row],[discount_pct]]/100)</f>
        <v>380</v>
      </c>
      <c r="I420">
        <v>0</v>
      </c>
      <c r="J420" s="2">
        <v>380</v>
      </c>
      <c r="K420" t="s">
        <v>321</v>
      </c>
      <c r="L420" s="2">
        <f>Table4[[#This Row],[total_amount]]*Table4[[#This Row],[refund_count]]</f>
        <v>0</v>
      </c>
      <c r="M420">
        <v>0</v>
      </c>
    </row>
    <row r="421" spans="1:13" x14ac:dyDescent="0.35">
      <c r="A421">
        <v>1420</v>
      </c>
      <c r="B421" s="1">
        <v>45918</v>
      </c>
      <c r="C421">
        <v>4</v>
      </c>
      <c r="D421">
        <v>1</v>
      </c>
      <c r="E421">
        <v>14</v>
      </c>
      <c r="F421">
        <v>1</v>
      </c>
      <c r="G421" s="2">
        <f>Table4[[#This Row],[gross_amount]]/Table4[[#This Row],[quantity]]</f>
        <v>340</v>
      </c>
      <c r="H421" s="2">
        <f>Table4[[#This Row],[total_amount]]/(1-Table4[[#This Row],[discount_pct]]/100)</f>
        <v>340</v>
      </c>
      <c r="I421">
        <v>5</v>
      </c>
      <c r="J421" s="2">
        <v>323</v>
      </c>
      <c r="K421" t="s">
        <v>322</v>
      </c>
      <c r="L421" s="2">
        <f>Table4[[#This Row],[total_amount]]*Table4[[#This Row],[refund_count]]</f>
        <v>0</v>
      </c>
      <c r="M421">
        <v>0</v>
      </c>
    </row>
    <row r="422" spans="1:13" x14ac:dyDescent="0.35">
      <c r="A422">
        <v>1421</v>
      </c>
      <c r="B422" s="1">
        <v>45948</v>
      </c>
      <c r="C422">
        <v>5</v>
      </c>
      <c r="D422">
        <v>85</v>
      </c>
      <c r="E422">
        <v>12</v>
      </c>
      <c r="F422">
        <v>3</v>
      </c>
      <c r="G422" s="2">
        <f>Table4[[#This Row],[gross_amount]]/Table4[[#This Row],[quantity]]</f>
        <v>180</v>
      </c>
      <c r="H422" s="2">
        <f>Table4[[#This Row],[total_amount]]/(1-Table4[[#This Row],[discount_pct]]/100)</f>
        <v>540</v>
      </c>
      <c r="I422">
        <v>0</v>
      </c>
      <c r="J422" s="2">
        <v>540</v>
      </c>
      <c r="K422" t="s">
        <v>322</v>
      </c>
      <c r="L422" s="2">
        <f>Table4[[#This Row],[total_amount]]*Table4[[#This Row],[refund_count]]</f>
        <v>0</v>
      </c>
      <c r="M422">
        <v>0</v>
      </c>
    </row>
    <row r="423" spans="1:13" x14ac:dyDescent="0.35">
      <c r="A423">
        <v>1422</v>
      </c>
      <c r="B423" s="1">
        <v>45948</v>
      </c>
      <c r="C423">
        <v>6</v>
      </c>
      <c r="D423">
        <v>248</v>
      </c>
      <c r="E423">
        <v>20</v>
      </c>
      <c r="F423">
        <v>3</v>
      </c>
      <c r="G423" s="2">
        <f>Table4[[#This Row],[gross_amount]]/Table4[[#This Row],[quantity]]</f>
        <v>160</v>
      </c>
      <c r="H423" s="2">
        <f>Table4[[#This Row],[total_amount]]/(1-Table4[[#This Row],[discount_pct]]/100)</f>
        <v>480</v>
      </c>
      <c r="I423">
        <v>15</v>
      </c>
      <c r="J423" s="2">
        <v>408</v>
      </c>
      <c r="K423" t="s">
        <v>322</v>
      </c>
      <c r="L423" s="2">
        <f>Table4[[#This Row],[total_amount]]*Table4[[#This Row],[refund_count]]</f>
        <v>0</v>
      </c>
      <c r="M423">
        <v>0</v>
      </c>
    </row>
    <row r="424" spans="1:13" x14ac:dyDescent="0.35">
      <c r="A424">
        <v>1423</v>
      </c>
      <c r="B424" s="1">
        <v>45948</v>
      </c>
      <c r="C424">
        <v>9</v>
      </c>
      <c r="D424">
        <v>169</v>
      </c>
      <c r="E424">
        <v>4</v>
      </c>
      <c r="F424">
        <v>3</v>
      </c>
      <c r="G424" s="2">
        <f>Table4[[#This Row],[gross_amount]]/Table4[[#This Row],[quantity]]</f>
        <v>160</v>
      </c>
      <c r="H424" s="2">
        <f>Table4[[#This Row],[total_amount]]/(1-Table4[[#This Row],[discount_pct]]/100)</f>
        <v>480</v>
      </c>
      <c r="I424">
        <v>0</v>
      </c>
      <c r="J424" s="2">
        <v>480</v>
      </c>
      <c r="K424" t="s">
        <v>322</v>
      </c>
      <c r="L424" s="2">
        <f>Table4[[#This Row],[total_amount]]*Table4[[#This Row],[refund_count]]</f>
        <v>0</v>
      </c>
      <c r="M424">
        <v>0</v>
      </c>
    </row>
    <row r="425" spans="1:13" x14ac:dyDescent="0.35">
      <c r="A425">
        <v>1424</v>
      </c>
      <c r="B425" s="1">
        <v>45948</v>
      </c>
      <c r="C425">
        <v>10</v>
      </c>
      <c r="D425">
        <v>149</v>
      </c>
      <c r="E425">
        <v>8</v>
      </c>
      <c r="F425">
        <v>3</v>
      </c>
      <c r="G425" s="2">
        <f>Table4[[#This Row],[gross_amount]]/Table4[[#This Row],[quantity]]</f>
        <v>160</v>
      </c>
      <c r="H425" s="2">
        <f>Table4[[#This Row],[total_amount]]/(1-Table4[[#This Row],[discount_pct]]/100)</f>
        <v>480</v>
      </c>
      <c r="I425">
        <v>5</v>
      </c>
      <c r="J425" s="2">
        <v>456</v>
      </c>
      <c r="K425" t="s">
        <v>255</v>
      </c>
      <c r="L425" s="2">
        <f>Table4[[#This Row],[total_amount]]*Table4[[#This Row],[refund_count]]</f>
        <v>0</v>
      </c>
      <c r="M425">
        <v>0</v>
      </c>
    </row>
    <row r="426" spans="1:13" x14ac:dyDescent="0.35">
      <c r="A426">
        <v>1425</v>
      </c>
      <c r="B426" s="1">
        <v>45979</v>
      </c>
      <c r="C426">
        <v>10</v>
      </c>
      <c r="D426">
        <v>172</v>
      </c>
      <c r="E426">
        <v>19</v>
      </c>
      <c r="F426">
        <v>2</v>
      </c>
      <c r="G426" s="2">
        <f>Table4[[#This Row],[gross_amount]]/Table4[[#This Row],[quantity]]</f>
        <v>150</v>
      </c>
      <c r="H426" s="2">
        <f>Table4[[#This Row],[total_amount]]/(1-Table4[[#This Row],[discount_pct]]/100)</f>
        <v>300</v>
      </c>
      <c r="I426">
        <v>0</v>
      </c>
      <c r="J426" s="2">
        <v>300</v>
      </c>
      <c r="K426" t="s">
        <v>320</v>
      </c>
      <c r="L426" s="2">
        <f>Table4[[#This Row],[total_amount]]*Table4[[#This Row],[refund_count]]</f>
        <v>0</v>
      </c>
      <c r="M426">
        <v>0</v>
      </c>
    </row>
    <row r="427" spans="1:13" x14ac:dyDescent="0.35">
      <c r="A427">
        <v>1426</v>
      </c>
      <c r="B427" s="1">
        <v>45979</v>
      </c>
      <c r="C427">
        <v>10</v>
      </c>
      <c r="D427">
        <v>10</v>
      </c>
      <c r="E427">
        <v>16</v>
      </c>
      <c r="F427">
        <v>2</v>
      </c>
      <c r="G427" s="2">
        <f>Table4[[#This Row],[gross_amount]]/Table4[[#This Row],[quantity]]</f>
        <v>150</v>
      </c>
      <c r="H427" s="2">
        <f>Table4[[#This Row],[total_amount]]/(1-Table4[[#This Row],[discount_pct]]/100)</f>
        <v>300</v>
      </c>
      <c r="I427">
        <v>10</v>
      </c>
      <c r="J427" s="2">
        <v>270</v>
      </c>
      <c r="K427" t="s">
        <v>321</v>
      </c>
      <c r="L427" s="2">
        <f>Table4[[#This Row],[total_amount]]*Table4[[#This Row],[refund_count]]</f>
        <v>0</v>
      </c>
      <c r="M427">
        <v>0</v>
      </c>
    </row>
    <row r="428" spans="1:13" x14ac:dyDescent="0.35">
      <c r="A428">
        <v>1427</v>
      </c>
      <c r="B428" s="1">
        <v>45979</v>
      </c>
      <c r="C428">
        <v>7</v>
      </c>
      <c r="D428">
        <v>248</v>
      </c>
      <c r="E428">
        <v>9</v>
      </c>
      <c r="F428">
        <v>2</v>
      </c>
      <c r="G428" s="2">
        <f>Table4[[#This Row],[gross_amount]]/Table4[[#This Row],[quantity]]</f>
        <v>160</v>
      </c>
      <c r="H428" s="2">
        <f>Table4[[#This Row],[total_amount]]/(1-Table4[[#This Row],[discount_pct]]/100)</f>
        <v>320</v>
      </c>
      <c r="I428">
        <v>15</v>
      </c>
      <c r="J428" s="2">
        <v>272</v>
      </c>
      <c r="K428" t="s">
        <v>322</v>
      </c>
      <c r="L428" s="2">
        <f>Table4[[#This Row],[total_amount]]*Table4[[#This Row],[refund_count]]</f>
        <v>0</v>
      </c>
      <c r="M428">
        <v>0</v>
      </c>
    </row>
    <row r="429" spans="1:13" x14ac:dyDescent="0.35">
      <c r="A429">
        <v>1428</v>
      </c>
      <c r="B429" s="1">
        <v>45979</v>
      </c>
      <c r="C429">
        <v>9</v>
      </c>
      <c r="D429">
        <v>29</v>
      </c>
      <c r="E429">
        <v>15</v>
      </c>
      <c r="F429">
        <v>2</v>
      </c>
      <c r="G429" s="2">
        <f>Table4[[#This Row],[gross_amount]]/Table4[[#This Row],[quantity]]</f>
        <v>200</v>
      </c>
      <c r="H429" s="2">
        <f>Table4[[#This Row],[total_amount]]/(1-Table4[[#This Row],[discount_pct]]/100)</f>
        <v>400</v>
      </c>
      <c r="I429">
        <v>0</v>
      </c>
      <c r="J429" s="2">
        <v>400</v>
      </c>
      <c r="K429" t="s">
        <v>320</v>
      </c>
      <c r="L429" s="2">
        <f>Table4[[#This Row],[total_amount]]*Table4[[#This Row],[refund_count]]</f>
        <v>0</v>
      </c>
      <c r="M429">
        <v>0</v>
      </c>
    </row>
    <row r="430" spans="1:13" x14ac:dyDescent="0.35">
      <c r="A430">
        <v>1429</v>
      </c>
      <c r="B430" s="1">
        <v>46009</v>
      </c>
      <c r="C430">
        <v>10</v>
      </c>
      <c r="D430">
        <v>86</v>
      </c>
      <c r="E430">
        <v>5</v>
      </c>
      <c r="F430">
        <v>3</v>
      </c>
      <c r="G430" s="2">
        <f>Table4[[#This Row],[gross_amount]]/Table4[[#This Row],[quantity]]</f>
        <v>200</v>
      </c>
      <c r="H430" s="2">
        <f>Table4[[#This Row],[total_amount]]/(1-Table4[[#This Row],[discount_pct]]/100)</f>
        <v>600</v>
      </c>
      <c r="I430">
        <v>0</v>
      </c>
      <c r="J430" s="2">
        <v>600</v>
      </c>
      <c r="K430" t="s">
        <v>321</v>
      </c>
      <c r="L430" s="2">
        <f>Table4[[#This Row],[total_amount]]*Table4[[#This Row],[refund_count]]</f>
        <v>0</v>
      </c>
      <c r="M430">
        <v>0</v>
      </c>
    </row>
    <row r="431" spans="1:13" x14ac:dyDescent="0.35">
      <c r="A431">
        <v>1430</v>
      </c>
      <c r="B431" s="1">
        <v>46009</v>
      </c>
      <c r="C431">
        <v>7</v>
      </c>
      <c r="D431">
        <v>56</v>
      </c>
      <c r="E431">
        <v>11</v>
      </c>
      <c r="F431">
        <v>1</v>
      </c>
      <c r="G431" s="2">
        <f>Table4[[#This Row],[gross_amount]]/Table4[[#This Row],[quantity]]</f>
        <v>200</v>
      </c>
      <c r="H431" s="2">
        <f>Table4[[#This Row],[total_amount]]/(1-Table4[[#This Row],[discount_pct]]/100)</f>
        <v>200</v>
      </c>
      <c r="I431">
        <v>15</v>
      </c>
      <c r="J431" s="2">
        <v>170</v>
      </c>
      <c r="K431" t="s">
        <v>321</v>
      </c>
      <c r="L431" s="2">
        <f>Table4[[#This Row],[total_amount]]*Table4[[#This Row],[refund_count]]</f>
        <v>0</v>
      </c>
      <c r="M431">
        <v>0</v>
      </c>
    </row>
    <row r="432" spans="1:13" x14ac:dyDescent="0.35">
      <c r="A432">
        <v>1431</v>
      </c>
      <c r="B432" s="1">
        <v>46009</v>
      </c>
      <c r="C432">
        <v>8</v>
      </c>
      <c r="D432">
        <v>85</v>
      </c>
      <c r="E432">
        <v>8</v>
      </c>
      <c r="F432">
        <v>1</v>
      </c>
      <c r="G432" s="2">
        <f>Table4[[#This Row],[gross_amount]]/Table4[[#This Row],[quantity]]</f>
        <v>200</v>
      </c>
      <c r="H432" s="2">
        <f>Table4[[#This Row],[total_amount]]/(1-Table4[[#This Row],[discount_pct]]/100)</f>
        <v>200</v>
      </c>
      <c r="I432">
        <v>10</v>
      </c>
      <c r="J432" s="2">
        <v>180</v>
      </c>
      <c r="K432" t="s">
        <v>322</v>
      </c>
      <c r="L432" s="2">
        <f>Table4[[#This Row],[total_amount]]*Table4[[#This Row],[refund_count]]</f>
        <v>0</v>
      </c>
      <c r="M432">
        <v>0</v>
      </c>
    </row>
    <row r="433" spans="1:13" x14ac:dyDescent="0.35">
      <c r="A433">
        <v>1432</v>
      </c>
      <c r="B433" s="1">
        <v>46009</v>
      </c>
      <c r="C433">
        <v>4</v>
      </c>
      <c r="D433">
        <v>194</v>
      </c>
      <c r="E433">
        <v>8</v>
      </c>
      <c r="F433">
        <v>2</v>
      </c>
      <c r="G433" s="2">
        <f>Table4[[#This Row],[gross_amount]]/Table4[[#This Row],[quantity]]</f>
        <v>170</v>
      </c>
      <c r="H433" s="2">
        <f>Table4[[#This Row],[total_amount]]/(1-Table4[[#This Row],[discount_pct]]/100)</f>
        <v>340</v>
      </c>
      <c r="I433">
        <v>20</v>
      </c>
      <c r="J433" s="2">
        <v>272</v>
      </c>
      <c r="K433" t="s">
        <v>320</v>
      </c>
      <c r="L433" s="2">
        <f>Table4[[#This Row],[total_amount]]*Table4[[#This Row],[refund_count]]</f>
        <v>0</v>
      </c>
      <c r="M433">
        <v>0</v>
      </c>
    </row>
    <row r="434" spans="1:13" x14ac:dyDescent="0.35">
      <c r="A434">
        <v>1433</v>
      </c>
      <c r="B434" s="1">
        <v>45676</v>
      </c>
      <c r="C434">
        <v>2</v>
      </c>
      <c r="D434">
        <v>14</v>
      </c>
      <c r="E434">
        <v>16</v>
      </c>
      <c r="F434">
        <v>2</v>
      </c>
      <c r="G434" s="2">
        <f>Table4[[#This Row],[gross_amount]]/Table4[[#This Row],[quantity]]</f>
        <v>180</v>
      </c>
      <c r="H434" s="2">
        <f>Table4[[#This Row],[total_amount]]/(1-Table4[[#This Row],[discount_pct]]/100)</f>
        <v>360</v>
      </c>
      <c r="I434">
        <v>15</v>
      </c>
      <c r="J434" s="2">
        <v>306</v>
      </c>
      <c r="K434" t="s">
        <v>322</v>
      </c>
      <c r="L434" s="2">
        <f>Table4[[#This Row],[total_amount]]*Table4[[#This Row],[refund_count]]</f>
        <v>0</v>
      </c>
      <c r="M434">
        <v>0</v>
      </c>
    </row>
    <row r="435" spans="1:13" x14ac:dyDescent="0.35">
      <c r="A435">
        <v>1434</v>
      </c>
      <c r="B435" s="1">
        <v>45676</v>
      </c>
      <c r="C435">
        <v>6</v>
      </c>
      <c r="D435">
        <v>80</v>
      </c>
      <c r="E435">
        <v>15</v>
      </c>
      <c r="F435">
        <v>3</v>
      </c>
      <c r="G435" s="2">
        <f>Table4[[#This Row],[gross_amount]]/Table4[[#This Row],[quantity]]</f>
        <v>133.33333333333334</v>
      </c>
      <c r="H435" s="2">
        <f>Table4[[#This Row],[total_amount]]/(1-Table4[[#This Row],[discount_pct]]/100)</f>
        <v>400</v>
      </c>
      <c r="I435">
        <v>10</v>
      </c>
      <c r="J435" s="2">
        <v>360</v>
      </c>
      <c r="K435" t="s">
        <v>322</v>
      </c>
      <c r="L435" s="2">
        <f>Table4[[#This Row],[total_amount]]*Table4[[#This Row],[refund_count]]</f>
        <v>0</v>
      </c>
      <c r="M435">
        <v>0</v>
      </c>
    </row>
    <row r="436" spans="1:13" x14ac:dyDescent="0.35">
      <c r="A436">
        <v>1435</v>
      </c>
      <c r="B436" s="1">
        <v>45676</v>
      </c>
      <c r="C436">
        <v>2</v>
      </c>
      <c r="D436">
        <v>208</v>
      </c>
      <c r="E436">
        <v>9</v>
      </c>
      <c r="F436">
        <v>2</v>
      </c>
      <c r="G436" s="2">
        <f>Table4[[#This Row],[gross_amount]]/Table4[[#This Row],[quantity]]</f>
        <v>200</v>
      </c>
      <c r="H436" s="2">
        <f>Table4[[#This Row],[total_amount]]/(1-Table4[[#This Row],[discount_pct]]/100)</f>
        <v>400</v>
      </c>
      <c r="I436">
        <v>0</v>
      </c>
      <c r="J436" s="2">
        <v>400</v>
      </c>
      <c r="K436" t="s">
        <v>322</v>
      </c>
      <c r="L436" s="2">
        <f>Table4[[#This Row],[total_amount]]*Table4[[#This Row],[refund_count]]</f>
        <v>0</v>
      </c>
      <c r="M436">
        <v>0</v>
      </c>
    </row>
    <row r="437" spans="1:13" x14ac:dyDescent="0.35">
      <c r="A437">
        <v>1436</v>
      </c>
      <c r="B437" s="1">
        <v>45676</v>
      </c>
      <c r="C437">
        <v>1</v>
      </c>
      <c r="D437">
        <v>24</v>
      </c>
      <c r="E437">
        <v>11</v>
      </c>
      <c r="F437">
        <v>2</v>
      </c>
      <c r="G437" s="2">
        <f>Table4[[#This Row],[gross_amount]]/Table4[[#This Row],[quantity]]</f>
        <v>160</v>
      </c>
      <c r="H437" s="2">
        <f>Table4[[#This Row],[total_amount]]/(1-Table4[[#This Row],[discount_pct]]/100)</f>
        <v>320</v>
      </c>
      <c r="I437">
        <v>15</v>
      </c>
      <c r="J437" s="2">
        <v>272</v>
      </c>
      <c r="K437" t="s">
        <v>322</v>
      </c>
      <c r="L437" s="2">
        <f>Table4[[#This Row],[total_amount]]*Table4[[#This Row],[refund_count]]</f>
        <v>0</v>
      </c>
      <c r="M437">
        <v>0</v>
      </c>
    </row>
    <row r="438" spans="1:13" x14ac:dyDescent="0.35">
      <c r="A438">
        <v>1437</v>
      </c>
      <c r="B438" s="1">
        <v>45707</v>
      </c>
      <c r="C438">
        <v>9</v>
      </c>
      <c r="D438">
        <v>173</v>
      </c>
      <c r="E438">
        <v>14</v>
      </c>
      <c r="F438">
        <v>2</v>
      </c>
      <c r="G438" s="2">
        <f>Table4[[#This Row],[gross_amount]]/Table4[[#This Row],[quantity]]</f>
        <v>180</v>
      </c>
      <c r="H438" s="2">
        <f>Table4[[#This Row],[total_amount]]/(1-Table4[[#This Row],[discount_pct]]/100)</f>
        <v>360</v>
      </c>
      <c r="I438">
        <v>5</v>
      </c>
      <c r="J438" s="2">
        <v>342</v>
      </c>
      <c r="K438" t="s">
        <v>322</v>
      </c>
      <c r="L438" s="2">
        <f>Table4[[#This Row],[total_amount]]*Table4[[#This Row],[refund_count]]</f>
        <v>0</v>
      </c>
      <c r="M438">
        <v>0</v>
      </c>
    </row>
    <row r="439" spans="1:13" x14ac:dyDescent="0.35">
      <c r="A439">
        <v>1438</v>
      </c>
      <c r="B439" s="1">
        <v>45707</v>
      </c>
      <c r="C439">
        <v>4</v>
      </c>
      <c r="D439">
        <v>106</v>
      </c>
      <c r="E439">
        <v>9</v>
      </c>
      <c r="F439">
        <v>1</v>
      </c>
      <c r="G439" s="2">
        <f>Table4[[#This Row],[gross_amount]]/Table4[[#This Row],[quantity]]</f>
        <v>200</v>
      </c>
      <c r="H439" s="2">
        <f>Table4[[#This Row],[total_amount]]/(1-Table4[[#This Row],[discount_pct]]/100)</f>
        <v>200</v>
      </c>
      <c r="I439">
        <v>10</v>
      </c>
      <c r="J439" s="2">
        <v>180</v>
      </c>
      <c r="K439" t="s">
        <v>322</v>
      </c>
      <c r="L439" s="2">
        <f>Table4[[#This Row],[total_amount]]*Table4[[#This Row],[refund_count]]</f>
        <v>0</v>
      </c>
      <c r="M439">
        <v>0</v>
      </c>
    </row>
    <row r="440" spans="1:13" x14ac:dyDescent="0.35">
      <c r="A440">
        <v>1439</v>
      </c>
      <c r="B440" s="1">
        <v>45707</v>
      </c>
      <c r="C440">
        <v>9</v>
      </c>
      <c r="D440">
        <v>52</v>
      </c>
      <c r="E440">
        <v>7</v>
      </c>
      <c r="F440">
        <v>2</v>
      </c>
      <c r="G440" s="2">
        <f>Table4[[#This Row],[gross_amount]]/Table4[[#This Row],[quantity]]</f>
        <v>150</v>
      </c>
      <c r="H440" s="2">
        <f>Table4[[#This Row],[total_amount]]/(1-Table4[[#This Row],[discount_pct]]/100)</f>
        <v>300</v>
      </c>
      <c r="I440">
        <v>0</v>
      </c>
      <c r="J440" s="2">
        <v>300</v>
      </c>
      <c r="K440" t="s">
        <v>322</v>
      </c>
      <c r="L440" s="2">
        <f>Table4[[#This Row],[total_amount]]*Table4[[#This Row],[refund_count]]</f>
        <v>0</v>
      </c>
      <c r="M440">
        <v>0</v>
      </c>
    </row>
    <row r="441" spans="1:13" x14ac:dyDescent="0.35">
      <c r="A441">
        <v>1440</v>
      </c>
      <c r="B441" s="1">
        <v>45707</v>
      </c>
      <c r="C441">
        <v>10</v>
      </c>
      <c r="D441">
        <v>163</v>
      </c>
      <c r="E441">
        <v>3</v>
      </c>
      <c r="F441">
        <v>1</v>
      </c>
      <c r="G441" s="2">
        <f>Table4[[#This Row],[gross_amount]]/Table4[[#This Row],[quantity]]</f>
        <v>200</v>
      </c>
      <c r="H441" s="2">
        <f>Table4[[#This Row],[total_amount]]/(1-Table4[[#This Row],[discount_pct]]/100)</f>
        <v>200</v>
      </c>
      <c r="I441">
        <v>0</v>
      </c>
      <c r="J441" s="2">
        <v>200</v>
      </c>
      <c r="K441" t="s">
        <v>321</v>
      </c>
      <c r="L441" s="2">
        <f>Table4[[#This Row],[total_amount]]*Table4[[#This Row],[refund_count]]</f>
        <v>0</v>
      </c>
      <c r="M441">
        <v>0</v>
      </c>
    </row>
    <row r="442" spans="1:13" x14ac:dyDescent="0.35">
      <c r="A442">
        <v>1441</v>
      </c>
      <c r="B442" s="1">
        <v>45735</v>
      </c>
      <c r="C442">
        <v>7</v>
      </c>
      <c r="D442">
        <v>247</v>
      </c>
      <c r="E442">
        <v>4</v>
      </c>
      <c r="F442">
        <v>2</v>
      </c>
      <c r="G442" s="2">
        <f>Table4[[#This Row],[gross_amount]]/Table4[[#This Row],[quantity]]</f>
        <v>180</v>
      </c>
      <c r="H442" s="2">
        <f>Table4[[#This Row],[total_amount]]/(1-Table4[[#This Row],[discount_pct]]/100)</f>
        <v>360</v>
      </c>
      <c r="I442">
        <v>10</v>
      </c>
      <c r="J442" s="2">
        <v>324</v>
      </c>
      <c r="K442" t="s">
        <v>321</v>
      </c>
      <c r="L442" s="2">
        <f>Table4[[#This Row],[total_amount]]*Table4[[#This Row],[refund_count]]</f>
        <v>0</v>
      </c>
      <c r="M442">
        <v>0</v>
      </c>
    </row>
    <row r="443" spans="1:13" x14ac:dyDescent="0.35">
      <c r="A443">
        <v>1442</v>
      </c>
      <c r="B443" s="1">
        <v>45735</v>
      </c>
      <c r="C443">
        <v>9</v>
      </c>
      <c r="D443">
        <v>133</v>
      </c>
      <c r="E443">
        <v>8</v>
      </c>
      <c r="F443">
        <v>1</v>
      </c>
      <c r="G443" s="2">
        <f>Table4[[#This Row],[gross_amount]]/Table4[[#This Row],[quantity]]</f>
        <v>200</v>
      </c>
      <c r="H443" s="2">
        <f>Table4[[#This Row],[total_amount]]/(1-Table4[[#This Row],[discount_pct]]/100)</f>
        <v>200</v>
      </c>
      <c r="I443">
        <v>10</v>
      </c>
      <c r="J443" s="2">
        <v>180</v>
      </c>
      <c r="K443" t="s">
        <v>320</v>
      </c>
      <c r="L443" s="2">
        <f>Table4[[#This Row],[total_amount]]*Table4[[#This Row],[refund_count]]</f>
        <v>0</v>
      </c>
      <c r="M443">
        <v>0</v>
      </c>
    </row>
    <row r="444" spans="1:13" x14ac:dyDescent="0.35">
      <c r="A444">
        <v>1443</v>
      </c>
      <c r="B444" s="1">
        <v>45735</v>
      </c>
      <c r="C444">
        <v>4</v>
      </c>
      <c r="D444">
        <v>159</v>
      </c>
      <c r="E444">
        <v>11</v>
      </c>
      <c r="F444">
        <v>1</v>
      </c>
      <c r="G444" s="2">
        <f>Table4[[#This Row],[gross_amount]]/Table4[[#This Row],[quantity]]</f>
        <v>340</v>
      </c>
      <c r="H444" s="2">
        <f>Table4[[#This Row],[total_amount]]/(1-Table4[[#This Row],[discount_pct]]/100)</f>
        <v>340</v>
      </c>
      <c r="I444">
        <v>5</v>
      </c>
      <c r="J444" s="2">
        <v>323</v>
      </c>
      <c r="K444" t="s">
        <v>321</v>
      </c>
      <c r="L444" s="2">
        <f>Table4[[#This Row],[total_amount]]*Table4[[#This Row],[refund_count]]</f>
        <v>0</v>
      </c>
      <c r="M444">
        <v>0</v>
      </c>
    </row>
    <row r="445" spans="1:13" x14ac:dyDescent="0.35">
      <c r="A445">
        <v>1444</v>
      </c>
      <c r="B445" s="1">
        <v>45735</v>
      </c>
      <c r="C445">
        <v>2</v>
      </c>
      <c r="D445">
        <v>94</v>
      </c>
      <c r="E445">
        <v>13</v>
      </c>
      <c r="F445">
        <v>3</v>
      </c>
      <c r="G445" s="2">
        <f>Table4[[#This Row],[gross_amount]]/Table4[[#This Row],[quantity]]</f>
        <v>200</v>
      </c>
      <c r="H445" s="2">
        <f>Table4[[#This Row],[total_amount]]/(1-Table4[[#This Row],[discount_pct]]/100)</f>
        <v>600</v>
      </c>
      <c r="I445">
        <v>0</v>
      </c>
      <c r="J445" s="2">
        <v>600</v>
      </c>
      <c r="K445" t="s">
        <v>322</v>
      </c>
      <c r="L445" s="2">
        <f>Table4[[#This Row],[total_amount]]*Table4[[#This Row],[refund_count]]</f>
        <v>0</v>
      </c>
      <c r="M445">
        <v>0</v>
      </c>
    </row>
    <row r="446" spans="1:13" x14ac:dyDescent="0.35">
      <c r="A446">
        <v>1445</v>
      </c>
      <c r="B446" s="1">
        <v>45766</v>
      </c>
      <c r="C446">
        <v>2</v>
      </c>
      <c r="D446">
        <v>234</v>
      </c>
      <c r="E446">
        <v>11</v>
      </c>
      <c r="F446">
        <v>3</v>
      </c>
      <c r="G446" s="2">
        <f>Table4[[#This Row],[gross_amount]]/Table4[[#This Row],[quantity]]</f>
        <v>150</v>
      </c>
      <c r="H446" s="2">
        <f>Table4[[#This Row],[total_amount]]/(1-Table4[[#This Row],[discount_pct]]/100)</f>
        <v>450</v>
      </c>
      <c r="I446">
        <v>0</v>
      </c>
      <c r="J446" s="2">
        <v>450</v>
      </c>
      <c r="K446" t="s">
        <v>320</v>
      </c>
      <c r="L446" s="2">
        <f>Table4[[#This Row],[total_amount]]*Table4[[#This Row],[refund_count]]</f>
        <v>0</v>
      </c>
      <c r="M446">
        <v>0</v>
      </c>
    </row>
    <row r="447" spans="1:13" x14ac:dyDescent="0.35">
      <c r="A447">
        <v>1446</v>
      </c>
      <c r="B447" s="1">
        <v>45766</v>
      </c>
      <c r="C447">
        <v>4</v>
      </c>
      <c r="D447">
        <v>162</v>
      </c>
      <c r="E447">
        <v>12</v>
      </c>
      <c r="F447">
        <v>3</v>
      </c>
      <c r="G447" s="2">
        <f>Table4[[#This Row],[gross_amount]]/Table4[[#This Row],[quantity]]</f>
        <v>180</v>
      </c>
      <c r="H447" s="2">
        <f>Table4[[#This Row],[total_amount]]/(1-Table4[[#This Row],[discount_pct]]/100)</f>
        <v>540</v>
      </c>
      <c r="I447">
        <v>0</v>
      </c>
      <c r="J447" s="2">
        <v>540</v>
      </c>
      <c r="K447" t="s">
        <v>255</v>
      </c>
      <c r="L447" s="2">
        <f>Table4[[#This Row],[total_amount]]*Table4[[#This Row],[refund_count]]</f>
        <v>0</v>
      </c>
      <c r="M447">
        <v>0</v>
      </c>
    </row>
    <row r="448" spans="1:13" x14ac:dyDescent="0.35">
      <c r="A448">
        <v>1447</v>
      </c>
      <c r="B448" s="1">
        <v>45766</v>
      </c>
      <c r="C448">
        <v>6</v>
      </c>
      <c r="D448">
        <v>19</v>
      </c>
      <c r="E448">
        <v>15</v>
      </c>
      <c r="F448">
        <v>2</v>
      </c>
      <c r="G448" s="2">
        <f>Table4[[#This Row],[gross_amount]]/Table4[[#This Row],[quantity]]</f>
        <v>160</v>
      </c>
      <c r="H448" s="2">
        <f>Table4[[#This Row],[total_amount]]/(1-Table4[[#This Row],[discount_pct]]/100)</f>
        <v>320</v>
      </c>
      <c r="I448">
        <v>15</v>
      </c>
      <c r="J448" s="2">
        <v>272</v>
      </c>
      <c r="K448" t="s">
        <v>322</v>
      </c>
      <c r="L448" s="2">
        <f>Table4[[#This Row],[total_amount]]*Table4[[#This Row],[refund_count]]</f>
        <v>0</v>
      </c>
      <c r="M448">
        <v>0</v>
      </c>
    </row>
    <row r="449" spans="1:13" x14ac:dyDescent="0.35">
      <c r="A449">
        <v>1448</v>
      </c>
      <c r="B449" s="1">
        <v>45766</v>
      </c>
      <c r="C449">
        <v>3</v>
      </c>
      <c r="D449">
        <v>94</v>
      </c>
      <c r="E449">
        <v>4</v>
      </c>
      <c r="F449">
        <v>1</v>
      </c>
      <c r="G449" s="2">
        <f>Table4[[#This Row],[gross_amount]]/Table4[[#This Row],[quantity]]</f>
        <v>240</v>
      </c>
      <c r="H449" s="2">
        <f>Table4[[#This Row],[total_amount]]/(1-Table4[[#This Row],[discount_pct]]/100)</f>
        <v>240</v>
      </c>
      <c r="I449">
        <v>15</v>
      </c>
      <c r="J449" s="2">
        <v>204</v>
      </c>
      <c r="K449" t="s">
        <v>320</v>
      </c>
      <c r="L449" s="2">
        <f>Table4[[#This Row],[total_amount]]*Table4[[#This Row],[refund_count]]</f>
        <v>0</v>
      </c>
      <c r="M449">
        <v>0</v>
      </c>
    </row>
    <row r="450" spans="1:13" x14ac:dyDescent="0.35">
      <c r="A450">
        <v>1449</v>
      </c>
      <c r="B450" s="1">
        <v>45796</v>
      </c>
      <c r="C450">
        <v>1</v>
      </c>
      <c r="D450">
        <v>17</v>
      </c>
      <c r="E450">
        <v>7</v>
      </c>
      <c r="F450">
        <v>2</v>
      </c>
      <c r="G450" s="2">
        <f>Table4[[#This Row],[gross_amount]]/Table4[[#This Row],[quantity]]</f>
        <v>150</v>
      </c>
      <c r="H450" s="2">
        <f>Table4[[#This Row],[total_amount]]/(1-Table4[[#This Row],[discount_pct]]/100)</f>
        <v>300</v>
      </c>
      <c r="I450">
        <v>0</v>
      </c>
      <c r="J450" s="2">
        <v>300</v>
      </c>
      <c r="K450" t="s">
        <v>322</v>
      </c>
      <c r="L450" s="2">
        <f>Table4[[#This Row],[total_amount]]*Table4[[#This Row],[refund_count]]</f>
        <v>0</v>
      </c>
      <c r="M450">
        <v>0</v>
      </c>
    </row>
    <row r="451" spans="1:13" x14ac:dyDescent="0.35">
      <c r="A451">
        <v>1450</v>
      </c>
      <c r="B451" s="1">
        <v>45796</v>
      </c>
      <c r="C451">
        <v>1</v>
      </c>
      <c r="D451">
        <v>161</v>
      </c>
      <c r="E451">
        <v>3</v>
      </c>
      <c r="F451">
        <v>1</v>
      </c>
      <c r="G451" s="2">
        <f>Table4[[#This Row],[gross_amount]]/Table4[[#This Row],[quantity]]</f>
        <v>270</v>
      </c>
      <c r="H451" s="2">
        <f>Table4[[#This Row],[total_amount]]/(1-Table4[[#This Row],[discount_pct]]/100)</f>
        <v>270</v>
      </c>
      <c r="I451">
        <v>20</v>
      </c>
      <c r="J451" s="2">
        <v>216</v>
      </c>
      <c r="K451" t="s">
        <v>322</v>
      </c>
      <c r="L451" s="2">
        <f>Table4[[#This Row],[total_amount]]*Table4[[#This Row],[refund_count]]</f>
        <v>0</v>
      </c>
      <c r="M451">
        <v>0</v>
      </c>
    </row>
    <row r="452" spans="1:13" x14ac:dyDescent="0.35">
      <c r="A452">
        <v>1451</v>
      </c>
      <c r="B452" s="1">
        <v>45796</v>
      </c>
      <c r="C452">
        <v>9</v>
      </c>
      <c r="D452">
        <v>75</v>
      </c>
      <c r="E452">
        <v>15</v>
      </c>
      <c r="F452">
        <v>1</v>
      </c>
      <c r="G452" s="2">
        <f>Table4[[#This Row],[gross_amount]]/Table4[[#This Row],[quantity]]</f>
        <v>200</v>
      </c>
      <c r="H452" s="2">
        <f>Table4[[#This Row],[total_amount]]/(1-Table4[[#This Row],[discount_pct]]/100)</f>
        <v>200</v>
      </c>
      <c r="I452">
        <v>10</v>
      </c>
      <c r="J452" s="2">
        <v>180</v>
      </c>
      <c r="K452" t="s">
        <v>322</v>
      </c>
      <c r="L452" s="2">
        <f>Table4[[#This Row],[total_amount]]*Table4[[#This Row],[refund_count]]</f>
        <v>0</v>
      </c>
      <c r="M452">
        <v>0</v>
      </c>
    </row>
    <row r="453" spans="1:13" x14ac:dyDescent="0.35">
      <c r="A453">
        <v>1452</v>
      </c>
      <c r="B453" s="1">
        <v>45796</v>
      </c>
      <c r="C453">
        <v>2</v>
      </c>
      <c r="D453">
        <v>187</v>
      </c>
      <c r="E453">
        <v>15</v>
      </c>
      <c r="F453">
        <v>1</v>
      </c>
      <c r="G453" s="2">
        <f>Table4[[#This Row],[gross_amount]]/Table4[[#This Row],[quantity]]</f>
        <v>200</v>
      </c>
      <c r="H453" s="2">
        <f>Table4[[#This Row],[total_amount]]/(1-Table4[[#This Row],[discount_pct]]/100)</f>
        <v>200</v>
      </c>
      <c r="I453">
        <v>0</v>
      </c>
      <c r="J453" s="2">
        <v>200</v>
      </c>
      <c r="K453" t="s">
        <v>321</v>
      </c>
      <c r="L453" s="2">
        <f>Table4[[#This Row],[total_amount]]*Table4[[#This Row],[refund_count]]</f>
        <v>0</v>
      </c>
      <c r="M453">
        <v>0</v>
      </c>
    </row>
    <row r="454" spans="1:13" x14ac:dyDescent="0.35">
      <c r="A454">
        <v>1453</v>
      </c>
      <c r="B454" s="1">
        <v>45827</v>
      </c>
      <c r="C454">
        <v>4</v>
      </c>
      <c r="D454">
        <v>136</v>
      </c>
      <c r="E454">
        <v>10</v>
      </c>
      <c r="F454">
        <v>2</v>
      </c>
      <c r="G454" s="2">
        <f>Table4[[#This Row],[gross_amount]]/Table4[[#This Row],[quantity]]</f>
        <v>150</v>
      </c>
      <c r="H454" s="2">
        <f>Table4[[#This Row],[total_amount]]/(1-Table4[[#This Row],[discount_pct]]/100)</f>
        <v>300</v>
      </c>
      <c r="I454">
        <v>0</v>
      </c>
      <c r="J454" s="2">
        <v>300</v>
      </c>
      <c r="K454" t="s">
        <v>320</v>
      </c>
      <c r="L454" s="2">
        <f>Table4[[#This Row],[total_amount]]*Table4[[#This Row],[refund_count]]</f>
        <v>0</v>
      </c>
      <c r="M454">
        <v>0</v>
      </c>
    </row>
    <row r="455" spans="1:13" x14ac:dyDescent="0.35">
      <c r="A455">
        <v>1454</v>
      </c>
      <c r="B455" s="1">
        <v>45827</v>
      </c>
      <c r="C455">
        <v>7</v>
      </c>
      <c r="D455">
        <v>125</v>
      </c>
      <c r="E455">
        <v>7</v>
      </c>
      <c r="F455">
        <v>2</v>
      </c>
      <c r="G455" s="2">
        <f>Table4[[#This Row],[gross_amount]]/Table4[[#This Row],[quantity]]</f>
        <v>180</v>
      </c>
      <c r="H455" s="2">
        <f>Table4[[#This Row],[total_amount]]/(1-Table4[[#This Row],[discount_pct]]/100)</f>
        <v>360</v>
      </c>
      <c r="I455">
        <v>10</v>
      </c>
      <c r="J455" s="2">
        <v>324</v>
      </c>
      <c r="K455" t="s">
        <v>320</v>
      </c>
      <c r="L455" s="2">
        <f>Table4[[#This Row],[total_amount]]*Table4[[#This Row],[refund_count]]</f>
        <v>0</v>
      </c>
      <c r="M455">
        <v>0</v>
      </c>
    </row>
    <row r="456" spans="1:13" x14ac:dyDescent="0.35">
      <c r="A456">
        <v>1455</v>
      </c>
      <c r="B456" s="1">
        <v>45827</v>
      </c>
      <c r="C456">
        <v>8</v>
      </c>
      <c r="D456">
        <v>140</v>
      </c>
      <c r="E456">
        <v>1</v>
      </c>
      <c r="F456">
        <v>3</v>
      </c>
      <c r="G456" s="2">
        <f>Table4[[#This Row],[gross_amount]]/Table4[[#This Row],[quantity]]</f>
        <v>160</v>
      </c>
      <c r="H456" s="2">
        <f>Table4[[#This Row],[total_amount]]/(1-Table4[[#This Row],[discount_pct]]/100)</f>
        <v>480</v>
      </c>
      <c r="I456">
        <v>5</v>
      </c>
      <c r="J456" s="2">
        <v>456</v>
      </c>
      <c r="K456" t="s">
        <v>322</v>
      </c>
      <c r="L456" s="2">
        <f>Table4[[#This Row],[total_amount]]*Table4[[#This Row],[refund_count]]</f>
        <v>0</v>
      </c>
      <c r="M456">
        <v>0</v>
      </c>
    </row>
    <row r="457" spans="1:13" x14ac:dyDescent="0.35">
      <c r="A457">
        <v>1456</v>
      </c>
      <c r="B457" s="1">
        <v>45827</v>
      </c>
      <c r="C457">
        <v>2</v>
      </c>
      <c r="D457">
        <v>79</v>
      </c>
      <c r="E457">
        <v>1</v>
      </c>
      <c r="F457">
        <v>2</v>
      </c>
      <c r="G457" s="2">
        <f>Table4[[#This Row],[gross_amount]]/Table4[[#This Row],[quantity]]</f>
        <v>170</v>
      </c>
      <c r="H457" s="2">
        <f>Table4[[#This Row],[total_amount]]/(1-Table4[[#This Row],[discount_pct]]/100)</f>
        <v>340</v>
      </c>
      <c r="I457">
        <v>10</v>
      </c>
      <c r="J457" s="2">
        <v>306</v>
      </c>
      <c r="K457" t="s">
        <v>321</v>
      </c>
      <c r="L457" s="2">
        <f>Table4[[#This Row],[total_amount]]*Table4[[#This Row],[refund_count]]</f>
        <v>0</v>
      </c>
      <c r="M457">
        <v>0</v>
      </c>
    </row>
    <row r="458" spans="1:13" x14ac:dyDescent="0.35">
      <c r="A458">
        <v>1457</v>
      </c>
      <c r="B458" s="1">
        <v>45858</v>
      </c>
      <c r="C458">
        <v>5</v>
      </c>
      <c r="D458">
        <v>36</v>
      </c>
      <c r="E458">
        <v>3</v>
      </c>
      <c r="F458">
        <v>3</v>
      </c>
      <c r="G458" s="2">
        <f>Table4[[#This Row],[gross_amount]]/Table4[[#This Row],[quantity]]</f>
        <v>180</v>
      </c>
      <c r="H458" s="2">
        <f>Table4[[#This Row],[total_amount]]/(1-Table4[[#This Row],[discount_pct]]/100)</f>
        <v>540</v>
      </c>
      <c r="I458">
        <v>0</v>
      </c>
      <c r="J458" s="2">
        <v>540</v>
      </c>
      <c r="K458" t="s">
        <v>321</v>
      </c>
      <c r="L458" s="2">
        <f>Table4[[#This Row],[total_amount]]*Table4[[#This Row],[refund_count]]</f>
        <v>0</v>
      </c>
      <c r="M458">
        <v>0</v>
      </c>
    </row>
    <row r="459" spans="1:13" x14ac:dyDescent="0.35">
      <c r="A459">
        <v>1458</v>
      </c>
      <c r="B459" s="1">
        <v>45858</v>
      </c>
      <c r="C459">
        <v>9</v>
      </c>
      <c r="D459">
        <v>138</v>
      </c>
      <c r="E459">
        <v>15</v>
      </c>
      <c r="F459">
        <v>3</v>
      </c>
      <c r="G459" s="2">
        <f>Table4[[#This Row],[gross_amount]]/Table4[[#This Row],[quantity]]</f>
        <v>160</v>
      </c>
      <c r="H459" s="2">
        <f>Table4[[#This Row],[total_amount]]/(1-Table4[[#This Row],[discount_pct]]/100)</f>
        <v>480</v>
      </c>
      <c r="I459">
        <v>15</v>
      </c>
      <c r="J459" s="2">
        <v>408</v>
      </c>
      <c r="K459" t="s">
        <v>321</v>
      </c>
      <c r="L459" s="2">
        <f>Table4[[#This Row],[total_amount]]*Table4[[#This Row],[refund_count]]</f>
        <v>0</v>
      </c>
      <c r="M459">
        <v>0</v>
      </c>
    </row>
    <row r="460" spans="1:13" x14ac:dyDescent="0.35">
      <c r="A460">
        <v>1459</v>
      </c>
      <c r="B460" s="1">
        <v>45858</v>
      </c>
      <c r="C460">
        <v>1</v>
      </c>
      <c r="D460">
        <v>212</v>
      </c>
      <c r="E460">
        <v>6</v>
      </c>
      <c r="F460">
        <v>2</v>
      </c>
      <c r="G460" s="2">
        <f>Table4[[#This Row],[gross_amount]]/Table4[[#This Row],[quantity]]</f>
        <v>180</v>
      </c>
      <c r="H460" s="2">
        <f>Table4[[#This Row],[total_amount]]/(1-Table4[[#This Row],[discount_pct]]/100)</f>
        <v>360</v>
      </c>
      <c r="I460">
        <v>15</v>
      </c>
      <c r="J460" s="2">
        <v>306</v>
      </c>
      <c r="K460" t="s">
        <v>322</v>
      </c>
      <c r="L460" s="2">
        <f>Table4[[#This Row],[total_amount]]*Table4[[#This Row],[refund_count]]</f>
        <v>0</v>
      </c>
      <c r="M460">
        <v>0</v>
      </c>
    </row>
    <row r="461" spans="1:13" x14ac:dyDescent="0.35">
      <c r="A461">
        <v>1460</v>
      </c>
      <c r="B461" s="1">
        <v>45858</v>
      </c>
      <c r="C461">
        <v>2</v>
      </c>
      <c r="D461">
        <v>32</v>
      </c>
      <c r="E461">
        <v>5</v>
      </c>
      <c r="F461">
        <v>3</v>
      </c>
      <c r="G461" s="2">
        <f>Table4[[#This Row],[gross_amount]]/Table4[[#This Row],[quantity]]</f>
        <v>160</v>
      </c>
      <c r="H461" s="2">
        <f>Table4[[#This Row],[total_amount]]/(1-Table4[[#This Row],[discount_pct]]/100)</f>
        <v>480</v>
      </c>
      <c r="I461">
        <v>20</v>
      </c>
      <c r="J461" s="2">
        <v>384</v>
      </c>
      <c r="K461" t="s">
        <v>320</v>
      </c>
      <c r="L461" s="2">
        <f>Table4[[#This Row],[total_amount]]*Table4[[#This Row],[refund_count]]</f>
        <v>0</v>
      </c>
      <c r="M461">
        <v>0</v>
      </c>
    </row>
    <row r="462" spans="1:13" x14ac:dyDescent="0.35">
      <c r="A462">
        <v>1461</v>
      </c>
      <c r="B462" s="1">
        <v>45889</v>
      </c>
      <c r="C462">
        <v>3</v>
      </c>
      <c r="D462">
        <v>114</v>
      </c>
      <c r="E462">
        <v>8</v>
      </c>
      <c r="F462">
        <v>3</v>
      </c>
      <c r="G462" s="2">
        <f>Table4[[#This Row],[gross_amount]]/Table4[[#This Row],[quantity]]</f>
        <v>160</v>
      </c>
      <c r="H462" s="2">
        <f>Table4[[#This Row],[total_amount]]/(1-Table4[[#This Row],[discount_pct]]/100)</f>
        <v>480</v>
      </c>
      <c r="I462">
        <v>0</v>
      </c>
      <c r="J462" s="2">
        <v>480</v>
      </c>
      <c r="K462" t="s">
        <v>322</v>
      </c>
      <c r="L462" s="2">
        <f>Table4[[#This Row],[total_amount]]*Table4[[#This Row],[refund_count]]</f>
        <v>0</v>
      </c>
      <c r="M462">
        <v>0</v>
      </c>
    </row>
    <row r="463" spans="1:13" x14ac:dyDescent="0.35">
      <c r="A463">
        <v>1462</v>
      </c>
      <c r="B463" s="1">
        <v>45889</v>
      </c>
      <c r="C463">
        <v>10</v>
      </c>
      <c r="D463">
        <v>165</v>
      </c>
      <c r="E463">
        <v>14</v>
      </c>
      <c r="F463">
        <v>3</v>
      </c>
      <c r="G463" s="2">
        <f>Table4[[#This Row],[gross_amount]]/Table4[[#This Row],[quantity]]</f>
        <v>160</v>
      </c>
      <c r="H463" s="2">
        <f>Table4[[#This Row],[total_amount]]/(1-Table4[[#This Row],[discount_pct]]/100)</f>
        <v>480</v>
      </c>
      <c r="I463">
        <v>0</v>
      </c>
      <c r="J463" s="2">
        <v>480</v>
      </c>
      <c r="K463" t="s">
        <v>322</v>
      </c>
      <c r="L463" s="2">
        <f>Table4[[#This Row],[total_amount]]*Table4[[#This Row],[refund_count]]</f>
        <v>0</v>
      </c>
      <c r="M463">
        <v>0</v>
      </c>
    </row>
    <row r="464" spans="1:13" x14ac:dyDescent="0.35">
      <c r="A464">
        <v>1463</v>
      </c>
      <c r="B464" s="1">
        <v>45889</v>
      </c>
      <c r="C464">
        <v>1</v>
      </c>
      <c r="D464">
        <v>188</v>
      </c>
      <c r="E464">
        <v>18</v>
      </c>
      <c r="F464">
        <v>2</v>
      </c>
      <c r="G464" s="2">
        <f>Table4[[#This Row],[gross_amount]]/Table4[[#This Row],[quantity]]</f>
        <v>200</v>
      </c>
      <c r="H464" s="2">
        <f>Table4[[#This Row],[total_amount]]/(1-Table4[[#This Row],[discount_pct]]/100)</f>
        <v>400</v>
      </c>
      <c r="I464">
        <v>10</v>
      </c>
      <c r="J464" s="2">
        <v>360</v>
      </c>
      <c r="K464" t="s">
        <v>322</v>
      </c>
      <c r="L464" s="2">
        <f>Table4[[#This Row],[total_amount]]*Table4[[#This Row],[refund_count]]</f>
        <v>0</v>
      </c>
      <c r="M464">
        <v>0</v>
      </c>
    </row>
    <row r="465" spans="1:13" x14ac:dyDescent="0.35">
      <c r="A465">
        <v>1464</v>
      </c>
      <c r="B465" s="1">
        <v>45889</v>
      </c>
      <c r="C465">
        <v>7</v>
      </c>
      <c r="D465">
        <v>18</v>
      </c>
      <c r="E465">
        <v>5</v>
      </c>
      <c r="F465">
        <v>1</v>
      </c>
      <c r="G465" s="2">
        <f>Table4[[#This Row],[gross_amount]]/Table4[[#This Row],[quantity]]</f>
        <v>200</v>
      </c>
      <c r="H465" s="2">
        <f>Table4[[#This Row],[total_amount]]/(1-Table4[[#This Row],[discount_pct]]/100)</f>
        <v>200</v>
      </c>
      <c r="I465">
        <v>0</v>
      </c>
      <c r="J465" s="2">
        <v>200</v>
      </c>
      <c r="K465" t="s">
        <v>322</v>
      </c>
      <c r="L465" s="2">
        <f>Table4[[#This Row],[total_amount]]*Table4[[#This Row],[refund_count]]</f>
        <v>0</v>
      </c>
      <c r="M465">
        <v>0</v>
      </c>
    </row>
    <row r="466" spans="1:13" x14ac:dyDescent="0.35">
      <c r="A466">
        <v>1465</v>
      </c>
      <c r="B466" s="1">
        <v>45920</v>
      </c>
      <c r="C466">
        <v>4</v>
      </c>
      <c r="D466">
        <v>44</v>
      </c>
      <c r="E466">
        <v>19</v>
      </c>
      <c r="F466">
        <v>1</v>
      </c>
      <c r="G466" s="2">
        <f>Table4[[#This Row],[gross_amount]]/Table4[[#This Row],[quantity]]</f>
        <v>240</v>
      </c>
      <c r="H466" s="2">
        <f>Table4[[#This Row],[total_amount]]/(1-Table4[[#This Row],[discount_pct]]/100)</f>
        <v>240</v>
      </c>
      <c r="I466">
        <v>0</v>
      </c>
      <c r="J466" s="2">
        <v>240</v>
      </c>
      <c r="K466" t="s">
        <v>322</v>
      </c>
      <c r="L466" s="2">
        <f>Table4[[#This Row],[total_amount]]*Table4[[#This Row],[refund_count]]</f>
        <v>0</v>
      </c>
      <c r="M466">
        <v>0</v>
      </c>
    </row>
    <row r="467" spans="1:13" x14ac:dyDescent="0.35">
      <c r="A467">
        <v>1466</v>
      </c>
      <c r="B467" s="1">
        <v>45920</v>
      </c>
      <c r="C467">
        <v>4</v>
      </c>
      <c r="D467">
        <v>124</v>
      </c>
      <c r="E467">
        <v>7</v>
      </c>
      <c r="F467">
        <v>3</v>
      </c>
      <c r="G467" s="2">
        <f>Table4[[#This Row],[gross_amount]]/Table4[[#This Row],[quantity]]</f>
        <v>113.33333333333333</v>
      </c>
      <c r="H467" s="2">
        <f>Table4[[#This Row],[total_amount]]/(1-Table4[[#This Row],[discount_pct]]/100)</f>
        <v>340</v>
      </c>
      <c r="I467">
        <v>10</v>
      </c>
      <c r="J467" s="2">
        <v>306</v>
      </c>
      <c r="K467" t="s">
        <v>321</v>
      </c>
      <c r="L467" s="2">
        <f>Table4[[#This Row],[total_amount]]*Table4[[#This Row],[refund_count]]</f>
        <v>0</v>
      </c>
      <c r="M467">
        <v>0</v>
      </c>
    </row>
    <row r="468" spans="1:13" x14ac:dyDescent="0.35">
      <c r="A468">
        <v>1467</v>
      </c>
      <c r="B468" s="1">
        <v>45920</v>
      </c>
      <c r="C468">
        <v>3</v>
      </c>
      <c r="D468">
        <v>65</v>
      </c>
      <c r="E468">
        <v>16</v>
      </c>
      <c r="F468">
        <v>3</v>
      </c>
      <c r="G468" s="2">
        <f>Table4[[#This Row],[gross_amount]]/Table4[[#This Row],[quantity]]</f>
        <v>120</v>
      </c>
      <c r="H468" s="2">
        <f>Table4[[#This Row],[total_amount]]/(1-Table4[[#This Row],[discount_pct]]/100)</f>
        <v>360</v>
      </c>
      <c r="I468">
        <v>5</v>
      </c>
      <c r="J468" s="2">
        <v>342</v>
      </c>
      <c r="K468" t="s">
        <v>321</v>
      </c>
      <c r="L468" s="2">
        <f>Table4[[#This Row],[total_amount]]*Table4[[#This Row],[refund_count]]</f>
        <v>0</v>
      </c>
      <c r="M468">
        <v>0</v>
      </c>
    </row>
    <row r="469" spans="1:13" x14ac:dyDescent="0.35">
      <c r="A469">
        <v>1468</v>
      </c>
      <c r="B469" s="1">
        <v>45920</v>
      </c>
      <c r="C469">
        <v>1</v>
      </c>
      <c r="D469">
        <v>249</v>
      </c>
      <c r="E469">
        <v>4</v>
      </c>
      <c r="F469">
        <v>1</v>
      </c>
      <c r="G469" s="2">
        <f>Table4[[#This Row],[gross_amount]]/Table4[[#This Row],[quantity]]</f>
        <v>240</v>
      </c>
      <c r="H469" s="2">
        <f>Table4[[#This Row],[total_amount]]/(1-Table4[[#This Row],[discount_pct]]/100)</f>
        <v>240</v>
      </c>
      <c r="I469">
        <v>15</v>
      </c>
      <c r="J469" s="2">
        <v>204</v>
      </c>
      <c r="K469" t="s">
        <v>320</v>
      </c>
      <c r="L469" s="2">
        <f>Table4[[#This Row],[total_amount]]*Table4[[#This Row],[refund_count]]</f>
        <v>0</v>
      </c>
      <c r="M469">
        <v>0</v>
      </c>
    </row>
    <row r="470" spans="1:13" x14ac:dyDescent="0.35">
      <c r="A470">
        <v>1469</v>
      </c>
      <c r="B470" s="1">
        <v>45950</v>
      </c>
      <c r="C470">
        <v>4</v>
      </c>
      <c r="D470">
        <v>220</v>
      </c>
      <c r="E470">
        <v>10</v>
      </c>
      <c r="F470">
        <v>2</v>
      </c>
      <c r="G470" s="2">
        <f>Table4[[#This Row],[gross_amount]]/Table4[[#This Row],[quantity]]</f>
        <v>190</v>
      </c>
      <c r="H470" s="2">
        <f>Table4[[#This Row],[total_amount]]/(1-Table4[[#This Row],[discount_pct]]/100)</f>
        <v>380</v>
      </c>
      <c r="I470">
        <v>0</v>
      </c>
      <c r="J470" s="2">
        <v>380</v>
      </c>
      <c r="K470" t="s">
        <v>322</v>
      </c>
      <c r="L470" s="2">
        <f>Table4[[#This Row],[total_amount]]*Table4[[#This Row],[refund_count]]</f>
        <v>0</v>
      </c>
      <c r="M470">
        <v>0</v>
      </c>
    </row>
    <row r="471" spans="1:13" x14ac:dyDescent="0.35">
      <c r="A471">
        <v>1470</v>
      </c>
      <c r="B471" s="1">
        <v>45950</v>
      </c>
      <c r="C471">
        <v>10</v>
      </c>
      <c r="D471">
        <v>98</v>
      </c>
      <c r="E471">
        <v>18</v>
      </c>
      <c r="F471">
        <v>2</v>
      </c>
      <c r="G471" s="2">
        <f>Table4[[#This Row],[gross_amount]]/Table4[[#This Row],[quantity]]</f>
        <v>170</v>
      </c>
      <c r="H471" s="2">
        <f>Table4[[#This Row],[total_amount]]/(1-Table4[[#This Row],[discount_pct]]/100)</f>
        <v>340</v>
      </c>
      <c r="I471">
        <v>0</v>
      </c>
      <c r="J471" s="2">
        <v>340</v>
      </c>
      <c r="K471" t="s">
        <v>321</v>
      </c>
      <c r="L471" s="2">
        <f>Table4[[#This Row],[total_amount]]*Table4[[#This Row],[refund_count]]</f>
        <v>0</v>
      </c>
      <c r="M471">
        <v>0</v>
      </c>
    </row>
    <row r="472" spans="1:13" x14ac:dyDescent="0.35">
      <c r="A472">
        <v>1471</v>
      </c>
      <c r="B472" s="1">
        <v>45950</v>
      </c>
      <c r="C472">
        <v>2</v>
      </c>
      <c r="D472">
        <v>210</v>
      </c>
      <c r="E472">
        <v>17</v>
      </c>
      <c r="F472">
        <v>3</v>
      </c>
      <c r="G472" s="2">
        <f>Table4[[#This Row],[gross_amount]]/Table4[[#This Row],[quantity]]</f>
        <v>150</v>
      </c>
      <c r="H472" s="2">
        <f>Table4[[#This Row],[total_amount]]/(1-Table4[[#This Row],[discount_pct]]/100)</f>
        <v>450</v>
      </c>
      <c r="I472">
        <v>20</v>
      </c>
      <c r="J472" s="2">
        <v>360</v>
      </c>
      <c r="K472" t="s">
        <v>320</v>
      </c>
      <c r="L472" s="2">
        <f>Table4[[#This Row],[total_amount]]*Table4[[#This Row],[refund_count]]</f>
        <v>0</v>
      </c>
      <c r="M472">
        <v>0</v>
      </c>
    </row>
    <row r="473" spans="1:13" x14ac:dyDescent="0.35">
      <c r="A473">
        <v>1472</v>
      </c>
      <c r="B473" s="1">
        <v>45950</v>
      </c>
      <c r="C473">
        <v>1</v>
      </c>
      <c r="D473">
        <v>120</v>
      </c>
      <c r="E473">
        <v>10</v>
      </c>
      <c r="F473">
        <v>2</v>
      </c>
      <c r="G473" s="2">
        <f>Table4[[#This Row],[gross_amount]]/Table4[[#This Row],[quantity]]</f>
        <v>170</v>
      </c>
      <c r="H473" s="2">
        <f>Table4[[#This Row],[total_amount]]/(1-Table4[[#This Row],[discount_pct]]/100)</f>
        <v>340</v>
      </c>
      <c r="I473">
        <v>5</v>
      </c>
      <c r="J473" s="2">
        <v>323</v>
      </c>
      <c r="K473" t="s">
        <v>322</v>
      </c>
      <c r="L473" s="2">
        <f>Table4[[#This Row],[total_amount]]*Table4[[#This Row],[refund_count]]</f>
        <v>0</v>
      </c>
      <c r="M473">
        <v>0</v>
      </c>
    </row>
    <row r="474" spans="1:13" x14ac:dyDescent="0.35">
      <c r="A474">
        <v>1473</v>
      </c>
      <c r="B474" s="1">
        <v>45981</v>
      </c>
      <c r="C474">
        <v>3</v>
      </c>
      <c r="D474">
        <v>51</v>
      </c>
      <c r="E474">
        <v>14</v>
      </c>
      <c r="F474">
        <v>3</v>
      </c>
      <c r="G474" s="2">
        <f>Table4[[#This Row],[gross_amount]]/Table4[[#This Row],[quantity]]</f>
        <v>133.33333333333334</v>
      </c>
      <c r="H474" s="2">
        <f>Table4[[#This Row],[total_amount]]/(1-Table4[[#This Row],[discount_pct]]/100)</f>
        <v>400</v>
      </c>
      <c r="I474">
        <v>10</v>
      </c>
      <c r="J474" s="2">
        <v>360</v>
      </c>
      <c r="K474" t="s">
        <v>320</v>
      </c>
      <c r="L474" s="2">
        <f>Table4[[#This Row],[total_amount]]*Table4[[#This Row],[refund_count]]</f>
        <v>0</v>
      </c>
      <c r="M474">
        <v>0</v>
      </c>
    </row>
    <row r="475" spans="1:13" x14ac:dyDescent="0.35">
      <c r="A475">
        <v>1474</v>
      </c>
      <c r="B475" s="1">
        <v>45981</v>
      </c>
      <c r="C475">
        <v>9</v>
      </c>
      <c r="D475">
        <v>207</v>
      </c>
      <c r="E475">
        <v>8</v>
      </c>
      <c r="F475">
        <v>2</v>
      </c>
      <c r="G475" s="2">
        <f>Table4[[#This Row],[gross_amount]]/Table4[[#This Row],[quantity]]</f>
        <v>180</v>
      </c>
      <c r="H475" s="2">
        <f>Table4[[#This Row],[total_amount]]/(1-Table4[[#This Row],[discount_pct]]/100)</f>
        <v>360</v>
      </c>
      <c r="I475">
        <v>10</v>
      </c>
      <c r="J475" s="2">
        <v>324</v>
      </c>
      <c r="K475" t="s">
        <v>322</v>
      </c>
      <c r="L475" s="2">
        <f>Table4[[#This Row],[total_amount]]*Table4[[#This Row],[refund_count]]</f>
        <v>0</v>
      </c>
      <c r="M475">
        <v>0</v>
      </c>
    </row>
    <row r="476" spans="1:13" x14ac:dyDescent="0.35">
      <c r="A476">
        <v>1475</v>
      </c>
      <c r="B476" s="1">
        <v>45981</v>
      </c>
      <c r="C476">
        <v>5</v>
      </c>
      <c r="D476">
        <v>50</v>
      </c>
      <c r="E476">
        <v>4</v>
      </c>
      <c r="F476">
        <v>1</v>
      </c>
      <c r="G476" s="2">
        <f>Table4[[#This Row],[gross_amount]]/Table4[[#This Row],[quantity]]</f>
        <v>180</v>
      </c>
      <c r="H476" s="2">
        <f>Table4[[#This Row],[total_amount]]/(1-Table4[[#This Row],[discount_pct]]/100)</f>
        <v>180</v>
      </c>
      <c r="I476">
        <v>0</v>
      </c>
      <c r="J476" s="2">
        <v>180</v>
      </c>
      <c r="K476" t="s">
        <v>321</v>
      </c>
      <c r="L476" s="2">
        <f>Table4[[#This Row],[total_amount]]*Table4[[#This Row],[refund_count]]</f>
        <v>0</v>
      </c>
      <c r="M476">
        <v>0</v>
      </c>
    </row>
    <row r="477" spans="1:13" x14ac:dyDescent="0.35">
      <c r="A477">
        <v>1476</v>
      </c>
      <c r="B477" s="1">
        <v>45981</v>
      </c>
      <c r="C477">
        <v>8</v>
      </c>
      <c r="D477">
        <v>188</v>
      </c>
      <c r="E477">
        <v>12</v>
      </c>
      <c r="F477">
        <v>2</v>
      </c>
      <c r="G477" s="2">
        <f>Table4[[#This Row],[gross_amount]]/Table4[[#This Row],[quantity]]</f>
        <v>170</v>
      </c>
      <c r="H477" s="2">
        <f>Table4[[#This Row],[total_amount]]/(1-Table4[[#This Row],[discount_pct]]/100)</f>
        <v>340</v>
      </c>
      <c r="I477">
        <v>20</v>
      </c>
      <c r="J477" s="2">
        <v>272</v>
      </c>
      <c r="K477" t="s">
        <v>322</v>
      </c>
      <c r="L477" s="2">
        <f>Table4[[#This Row],[total_amount]]*Table4[[#This Row],[refund_count]]</f>
        <v>0</v>
      </c>
      <c r="M477">
        <v>0</v>
      </c>
    </row>
    <row r="478" spans="1:13" x14ac:dyDescent="0.35">
      <c r="A478">
        <v>1477</v>
      </c>
      <c r="B478" s="1">
        <v>46011</v>
      </c>
      <c r="C478">
        <v>4</v>
      </c>
      <c r="D478">
        <v>113</v>
      </c>
      <c r="E478">
        <v>8</v>
      </c>
      <c r="F478">
        <v>2</v>
      </c>
      <c r="G478" s="2">
        <f>Table4[[#This Row],[gross_amount]]/Table4[[#This Row],[quantity]]</f>
        <v>160</v>
      </c>
      <c r="H478" s="2">
        <f>Table4[[#This Row],[total_amount]]/(1-Table4[[#This Row],[discount_pct]]/100)</f>
        <v>320</v>
      </c>
      <c r="I478">
        <v>0</v>
      </c>
      <c r="J478" s="2">
        <v>320</v>
      </c>
      <c r="K478" t="s">
        <v>320</v>
      </c>
      <c r="L478" s="2">
        <f>Table4[[#This Row],[total_amount]]*Table4[[#This Row],[refund_count]]</f>
        <v>0</v>
      </c>
      <c r="M478">
        <v>0</v>
      </c>
    </row>
    <row r="479" spans="1:13" x14ac:dyDescent="0.35">
      <c r="A479">
        <v>1478</v>
      </c>
      <c r="B479" s="1">
        <v>46011</v>
      </c>
      <c r="C479">
        <v>4</v>
      </c>
      <c r="D479">
        <v>218</v>
      </c>
      <c r="E479">
        <v>10</v>
      </c>
      <c r="F479">
        <v>2</v>
      </c>
      <c r="G479" s="2">
        <f>Table4[[#This Row],[gross_amount]]/Table4[[#This Row],[quantity]]</f>
        <v>170</v>
      </c>
      <c r="H479" s="2">
        <f>Table4[[#This Row],[total_amount]]/(1-Table4[[#This Row],[discount_pct]]/100)</f>
        <v>340</v>
      </c>
      <c r="I479">
        <v>5</v>
      </c>
      <c r="J479" s="2">
        <v>323</v>
      </c>
      <c r="K479" t="s">
        <v>255</v>
      </c>
      <c r="L479" s="2">
        <f>Table4[[#This Row],[total_amount]]*Table4[[#This Row],[refund_count]]</f>
        <v>0</v>
      </c>
      <c r="M479">
        <v>0</v>
      </c>
    </row>
    <row r="480" spans="1:13" x14ac:dyDescent="0.35">
      <c r="A480">
        <v>1479</v>
      </c>
      <c r="B480" s="1">
        <v>46011</v>
      </c>
      <c r="C480">
        <v>7</v>
      </c>
      <c r="D480">
        <v>20</v>
      </c>
      <c r="E480">
        <v>13</v>
      </c>
      <c r="F480">
        <v>1</v>
      </c>
      <c r="G480" s="2">
        <f>Table4[[#This Row],[gross_amount]]/Table4[[#This Row],[quantity]]</f>
        <v>300</v>
      </c>
      <c r="H480" s="2">
        <f>Table4[[#This Row],[total_amount]]/(1-Table4[[#This Row],[discount_pct]]/100)</f>
        <v>300</v>
      </c>
      <c r="I480">
        <v>20</v>
      </c>
      <c r="J480" s="2">
        <v>240</v>
      </c>
      <c r="K480" t="s">
        <v>322</v>
      </c>
      <c r="L480" s="2">
        <f>Table4[[#This Row],[total_amount]]*Table4[[#This Row],[refund_count]]</f>
        <v>0</v>
      </c>
      <c r="M480">
        <v>0</v>
      </c>
    </row>
    <row r="481" spans="1:13" x14ac:dyDescent="0.35">
      <c r="A481">
        <v>1480</v>
      </c>
      <c r="B481" s="1">
        <v>46011</v>
      </c>
      <c r="C481">
        <v>4</v>
      </c>
      <c r="D481">
        <v>128</v>
      </c>
      <c r="E481">
        <v>12</v>
      </c>
      <c r="F481">
        <v>3</v>
      </c>
      <c r="G481" s="2">
        <f>Table4[[#This Row],[gross_amount]]/Table4[[#This Row],[quantity]]</f>
        <v>140</v>
      </c>
      <c r="H481" s="2">
        <f>Table4[[#This Row],[total_amount]]/(1-Table4[[#This Row],[discount_pct]]/100)</f>
        <v>420</v>
      </c>
      <c r="I481">
        <v>20</v>
      </c>
      <c r="J481" s="2">
        <v>336</v>
      </c>
      <c r="K481" t="s">
        <v>322</v>
      </c>
      <c r="L481" s="2">
        <f>Table4[[#This Row],[total_amount]]*Table4[[#This Row],[refund_count]]</f>
        <v>0</v>
      </c>
      <c r="M481">
        <v>0</v>
      </c>
    </row>
    <row r="482" spans="1:13" x14ac:dyDescent="0.35">
      <c r="A482">
        <v>1481</v>
      </c>
      <c r="B482" s="1">
        <v>45678</v>
      </c>
      <c r="C482">
        <v>3</v>
      </c>
      <c r="D482">
        <v>85</v>
      </c>
      <c r="E482">
        <v>13</v>
      </c>
      <c r="F482">
        <v>3</v>
      </c>
      <c r="G482" s="2">
        <f>Table4[[#This Row],[gross_amount]]/Table4[[#This Row],[quantity]]</f>
        <v>160</v>
      </c>
      <c r="H482" s="2">
        <f>Table4[[#This Row],[total_amount]]/(1-Table4[[#This Row],[discount_pct]]/100)</f>
        <v>480</v>
      </c>
      <c r="I482">
        <v>20</v>
      </c>
      <c r="J482" s="2">
        <v>384</v>
      </c>
      <c r="K482" t="s">
        <v>322</v>
      </c>
      <c r="L482" s="2">
        <f>Table4[[#This Row],[total_amount]]*Table4[[#This Row],[refund_count]]</f>
        <v>0</v>
      </c>
      <c r="M482">
        <v>0</v>
      </c>
    </row>
    <row r="483" spans="1:13" x14ac:dyDescent="0.35">
      <c r="A483">
        <v>1482</v>
      </c>
      <c r="B483" s="1">
        <v>45678</v>
      </c>
      <c r="C483">
        <v>4</v>
      </c>
      <c r="D483">
        <v>173</v>
      </c>
      <c r="E483">
        <v>10</v>
      </c>
      <c r="F483">
        <v>2</v>
      </c>
      <c r="G483" s="2">
        <f>Table4[[#This Row],[gross_amount]]/Table4[[#This Row],[quantity]]</f>
        <v>150</v>
      </c>
      <c r="H483" s="2">
        <f>Table4[[#This Row],[total_amount]]/(1-Table4[[#This Row],[discount_pct]]/100)</f>
        <v>300</v>
      </c>
      <c r="I483">
        <v>0</v>
      </c>
      <c r="J483" s="2">
        <v>300</v>
      </c>
      <c r="K483" t="s">
        <v>320</v>
      </c>
      <c r="L483" s="2">
        <f>Table4[[#This Row],[total_amount]]*Table4[[#This Row],[refund_count]]</f>
        <v>0</v>
      </c>
      <c r="M483">
        <v>0</v>
      </c>
    </row>
    <row r="484" spans="1:13" x14ac:dyDescent="0.35">
      <c r="A484">
        <v>1483</v>
      </c>
      <c r="B484" s="1">
        <v>45678</v>
      </c>
      <c r="C484">
        <v>4</v>
      </c>
      <c r="D484">
        <v>193</v>
      </c>
      <c r="E484">
        <v>13</v>
      </c>
      <c r="F484">
        <v>1</v>
      </c>
      <c r="G484" s="2">
        <f>Table4[[#This Row],[gross_amount]]/Table4[[#This Row],[quantity]]</f>
        <v>300</v>
      </c>
      <c r="H484" s="2">
        <f>Table4[[#This Row],[total_amount]]/(1-Table4[[#This Row],[discount_pct]]/100)</f>
        <v>300</v>
      </c>
      <c r="I484">
        <v>10</v>
      </c>
      <c r="J484" s="2">
        <v>270</v>
      </c>
      <c r="K484" t="s">
        <v>321</v>
      </c>
      <c r="L484" s="2">
        <f>Table4[[#This Row],[total_amount]]*Table4[[#This Row],[refund_count]]</f>
        <v>0</v>
      </c>
      <c r="M484">
        <v>0</v>
      </c>
    </row>
    <row r="485" spans="1:13" x14ac:dyDescent="0.35">
      <c r="A485">
        <v>1484</v>
      </c>
      <c r="B485" s="1">
        <v>45678</v>
      </c>
      <c r="C485">
        <v>10</v>
      </c>
      <c r="D485">
        <v>218</v>
      </c>
      <c r="E485">
        <v>9</v>
      </c>
      <c r="F485">
        <v>2</v>
      </c>
      <c r="G485" s="2">
        <f>Table4[[#This Row],[gross_amount]]/Table4[[#This Row],[quantity]]</f>
        <v>200</v>
      </c>
      <c r="H485" s="2">
        <f>Table4[[#This Row],[total_amount]]/(1-Table4[[#This Row],[discount_pct]]/100)</f>
        <v>400</v>
      </c>
      <c r="I485">
        <v>0</v>
      </c>
      <c r="J485" s="2">
        <v>400</v>
      </c>
      <c r="K485" t="s">
        <v>322</v>
      </c>
      <c r="L485" s="2">
        <f>Table4[[#This Row],[total_amount]]*Table4[[#This Row],[refund_count]]</f>
        <v>0</v>
      </c>
      <c r="M485">
        <v>0</v>
      </c>
    </row>
    <row r="486" spans="1:13" x14ac:dyDescent="0.35">
      <c r="A486">
        <v>1485</v>
      </c>
      <c r="B486" s="1">
        <v>45709</v>
      </c>
      <c r="C486">
        <v>3</v>
      </c>
      <c r="D486">
        <v>205</v>
      </c>
      <c r="E486">
        <v>10</v>
      </c>
      <c r="F486">
        <v>2</v>
      </c>
      <c r="G486" s="2">
        <f>Table4[[#This Row],[gross_amount]]/Table4[[#This Row],[quantity]]</f>
        <v>180</v>
      </c>
      <c r="H486" s="2">
        <f>Table4[[#This Row],[total_amount]]/(1-Table4[[#This Row],[discount_pct]]/100)</f>
        <v>360</v>
      </c>
      <c r="I486">
        <v>10</v>
      </c>
      <c r="J486" s="2">
        <v>324</v>
      </c>
      <c r="K486" t="s">
        <v>255</v>
      </c>
      <c r="L486" s="2">
        <f>Table4[[#This Row],[total_amount]]*Table4[[#This Row],[refund_count]]</f>
        <v>0</v>
      </c>
      <c r="M486">
        <v>0</v>
      </c>
    </row>
    <row r="487" spans="1:13" x14ac:dyDescent="0.35">
      <c r="A487">
        <v>1486</v>
      </c>
      <c r="B487" s="1">
        <v>45709</v>
      </c>
      <c r="C487">
        <v>10</v>
      </c>
      <c r="D487">
        <v>77</v>
      </c>
      <c r="E487">
        <v>18</v>
      </c>
      <c r="F487">
        <v>3</v>
      </c>
      <c r="G487" s="2">
        <f>Table4[[#This Row],[gross_amount]]/Table4[[#This Row],[quantity]]</f>
        <v>160</v>
      </c>
      <c r="H487" s="2">
        <f>Table4[[#This Row],[total_amount]]/(1-Table4[[#This Row],[discount_pct]]/100)</f>
        <v>480</v>
      </c>
      <c r="I487">
        <v>5</v>
      </c>
      <c r="J487" s="2">
        <v>456</v>
      </c>
      <c r="K487" t="s">
        <v>320</v>
      </c>
      <c r="L487" s="2">
        <f>Table4[[#This Row],[total_amount]]*Table4[[#This Row],[refund_count]]</f>
        <v>0</v>
      </c>
      <c r="M487">
        <v>0</v>
      </c>
    </row>
    <row r="488" spans="1:13" x14ac:dyDescent="0.35">
      <c r="A488">
        <v>1487</v>
      </c>
      <c r="B488" s="1">
        <v>45709</v>
      </c>
      <c r="C488">
        <v>4</v>
      </c>
      <c r="D488">
        <v>170</v>
      </c>
      <c r="E488">
        <v>1</v>
      </c>
      <c r="F488">
        <v>1</v>
      </c>
      <c r="G488" s="2">
        <f>Table4[[#This Row],[gross_amount]]/Table4[[#This Row],[quantity]]</f>
        <v>200</v>
      </c>
      <c r="H488" s="2">
        <f>Table4[[#This Row],[total_amount]]/(1-Table4[[#This Row],[discount_pct]]/100)</f>
        <v>200</v>
      </c>
      <c r="I488">
        <v>15</v>
      </c>
      <c r="J488" s="2">
        <v>170</v>
      </c>
      <c r="K488" t="s">
        <v>322</v>
      </c>
      <c r="L488" s="2">
        <f>Table4[[#This Row],[total_amount]]*Table4[[#This Row],[refund_count]]</f>
        <v>0</v>
      </c>
      <c r="M488">
        <v>0</v>
      </c>
    </row>
    <row r="489" spans="1:13" x14ac:dyDescent="0.35">
      <c r="A489">
        <v>1488</v>
      </c>
      <c r="B489" s="1">
        <v>45709</v>
      </c>
      <c r="C489">
        <v>4</v>
      </c>
      <c r="D489">
        <v>221</v>
      </c>
      <c r="E489">
        <v>5</v>
      </c>
      <c r="F489">
        <v>1</v>
      </c>
      <c r="G489" s="2">
        <f>Table4[[#This Row],[gross_amount]]/Table4[[#This Row],[quantity]]</f>
        <v>200</v>
      </c>
      <c r="H489" s="2">
        <f>Table4[[#This Row],[total_amount]]/(1-Table4[[#This Row],[discount_pct]]/100)</f>
        <v>200</v>
      </c>
      <c r="I489">
        <v>0</v>
      </c>
      <c r="J489" s="2">
        <v>200</v>
      </c>
      <c r="K489" t="s">
        <v>322</v>
      </c>
      <c r="L489" s="2">
        <f>Table4[[#This Row],[total_amount]]*Table4[[#This Row],[refund_count]]</f>
        <v>0</v>
      </c>
      <c r="M489">
        <v>0</v>
      </c>
    </row>
    <row r="490" spans="1:13" x14ac:dyDescent="0.35">
      <c r="A490">
        <v>1489</v>
      </c>
      <c r="B490" s="1">
        <v>45737</v>
      </c>
      <c r="C490">
        <v>4</v>
      </c>
      <c r="D490">
        <v>203</v>
      </c>
      <c r="E490">
        <v>11</v>
      </c>
      <c r="F490">
        <v>1</v>
      </c>
      <c r="G490" s="2">
        <f>Table4[[#This Row],[gross_amount]]/Table4[[#This Row],[quantity]]</f>
        <v>240</v>
      </c>
      <c r="H490" s="2">
        <f>Table4[[#This Row],[total_amount]]/(1-Table4[[#This Row],[discount_pct]]/100)</f>
        <v>240</v>
      </c>
      <c r="I490">
        <v>20</v>
      </c>
      <c r="J490" s="2">
        <v>192</v>
      </c>
      <c r="K490" t="s">
        <v>321</v>
      </c>
      <c r="L490" s="2">
        <f>Table4[[#This Row],[total_amount]]*Table4[[#This Row],[refund_count]]</f>
        <v>0</v>
      </c>
      <c r="M490">
        <v>0</v>
      </c>
    </row>
    <row r="491" spans="1:13" x14ac:dyDescent="0.35">
      <c r="A491">
        <v>1490</v>
      </c>
      <c r="B491" s="1">
        <v>45737</v>
      </c>
      <c r="C491">
        <v>10</v>
      </c>
      <c r="D491">
        <v>42</v>
      </c>
      <c r="E491">
        <v>14</v>
      </c>
      <c r="F491">
        <v>1</v>
      </c>
      <c r="G491" s="2">
        <f>Table4[[#This Row],[gross_amount]]/Table4[[#This Row],[quantity]]</f>
        <v>200</v>
      </c>
      <c r="H491" s="2">
        <f>Table4[[#This Row],[total_amount]]/(1-Table4[[#This Row],[discount_pct]]/100)</f>
        <v>200</v>
      </c>
      <c r="I491">
        <v>0</v>
      </c>
      <c r="J491" s="2">
        <v>200</v>
      </c>
      <c r="K491" t="s">
        <v>320</v>
      </c>
      <c r="L491" s="2">
        <f>Table4[[#This Row],[total_amount]]*Table4[[#This Row],[refund_count]]</f>
        <v>0</v>
      </c>
      <c r="M491">
        <v>0</v>
      </c>
    </row>
    <row r="492" spans="1:13" x14ac:dyDescent="0.35">
      <c r="A492">
        <v>1491</v>
      </c>
      <c r="B492" s="1">
        <v>45737</v>
      </c>
      <c r="C492">
        <v>8</v>
      </c>
      <c r="D492">
        <v>171</v>
      </c>
      <c r="E492">
        <v>12</v>
      </c>
      <c r="F492">
        <v>1</v>
      </c>
      <c r="G492" s="2">
        <f>Table4[[#This Row],[gross_amount]]/Table4[[#This Row],[quantity]]</f>
        <v>340</v>
      </c>
      <c r="H492" s="2">
        <f>Table4[[#This Row],[total_amount]]/(1-Table4[[#This Row],[discount_pct]]/100)</f>
        <v>340</v>
      </c>
      <c r="I492">
        <v>5</v>
      </c>
      <c r="J492" s="2">
        <v>323</v>
      </c>
      <c r="K492" t="s">
        <v>322</v>
      </c>
      <c r="L492" s="2">
        <f>Table4[[#This Row],[total_amount]]*Table4[[#This Row],[refund_count]]</f>
        <v>0</v>
      </c>
      <c r="M492">
        <v>0</v>
      </c>
    </row>
    <row r="493" spans="1:13" x14ac:dyDescent="0.35">
      <c r="A493">
        <v>1492</v>
      </c>
      <c r="B493" s="1">
        <v>45737</v>
      </c>
      <c r="C493">
        <v>9</v>
      </c>
      <c r="D493">
        <v>189</v>
      </c>
      <c r="E493">
        <v>3</v>
      </c>
      <c r="F493">
        <v>3</v>
      </c>
      <c r="G493" s="2">
        <f>Table4[[#This Row],[gross_amount]]/Table4[[#This Row],[quantity]]</f>
        <v>140</v>
      </c>
      <c r="H493" s="2">
        <f>Table4[[#This Row],[total_amount]]/(1-Table4[[#This Row],[discount_pct]]/100)</f>
        <v>420</v>
      </c>
      <c r="I493">
        <v>10</v>
      </c>
      <c r="J493" s="2">
        <v>378</v>
      </c>
      <c r="K493" t="s">
        <v>255</v>
      </c>
      <c r="L493" s="2">
        <f>Table4[[#This Row],[total_amount]]*Table4[[#This Row],[refund_count]]</f>
        <v>0</v>
      </c>
      <c r="M493">
        <v>0</v>
      </c>
    </row>
    <row r="494" spans="1:13" x14ac:dyDescent="0.35">
      <c r="A494">
        <v>1493</v>
      </c>
      <c r="B494" s="1">
        <v>45768</v>
      </c>
      <c r="C494">
        <v>10</v>
      </c>
      <c r="D494">
        <v>188</v>
      </c>
      <c r="E494">
        <v>3</v>
      </c>
      <c r="F494">
        <v>2</v>
      </c>
      <c r="G494" s="2">
        <f>Table4[[#This Row],[gross_amount]]/Table4[[#This Row],[quantity]]</f>
        <v>180</v>
      </c>
      <c r="H494" s="2">
        <f>Table4[[#This Row],[total_amount]]/(1-Table4[[#This Row],[discount_pct]]/100)</f>
        <v>360</v>
      </c>
      <c r="I494">
        <v>15</v>
      </c>
      <c r="J494" s="2">
        <v>306</v>
      </c>
      <c r="K494" t="s">
        <v>320</v>
      </c>
      <c r="L494" s="2">
        <f>Table4[[#This Row],[total_amount]]*Table4[[#This Row],[refund_count]]</f>
        <v>0</v>
      </c>
      <c r="M494">
        <v>0</v>
      </c>
    </row>
    <row r="495" spans="1:13" x14ac:dyDescent="0.35">
      <c r="A495">
        <v>1494</v>
      </c>
      <c r="B495" s="1">
        <v>45768</v>
      </c>
      <c r="C495">
        <v>1</v>
      </c>
      <c r="D495">
        <v>145</v>
      </c>
      <c r="E495">
        <v>1</v>
      </c>
      <c r="F495">
        <v>3</v>
      </c>
      <c r="G495" s="2">
        <f>Table4[[#This Row],[gross_amount]]/Table4[[#This Row],[quantity]]</f>
        <v>200</v>
      </c>
      <c r="H495" s="2">
        <f>Table4[[#This Row],[total_amount]]/(1-Table4[[#This Row],[discount_pct]]/100)</f>
        <v>600</v>
      </c>
      <c r="I495">
        <v>0</v>
      </c>
      <c r="J495" s="2">
        <v>600</v>
      </c>
      <c r="K495" t="s">
        <v>320</v>
      </c>
      <c r="L495" s="2">
        <f>Table4[[#This Row],[total_amount]]*Table4[[#This Row],[refund_count]]</f>
        <v>0</v>
      </c>
      <c r="M495">
        <v>0</v>
      </c>
    </row>
    <row r="496" spans="1:13" x14ac:dyDescent="0.35">
      <c r="A496">
        <v>1495</v>
      </c>
      <c r="B496" s="1">
        <v>45768</v>
      </c>
      <c r="C496">
        <v>8</v>
      </c>
      <c r="D496">
        <v>244</v>
      </c>
      <c r="E496">
        <v>5</v>
      </c>
      <c r="F496">
        <v>3</v>
      </c>
      <c r="G496" s="2">
        <f>Table4[[#This Row],[gross_amount]]/Table4[[#This Row],[quantity]]</f>
        <v>133.33333333333334</v>
      </c>
      <c r="H496" s="2">
        <f>Table4[[#This Row],[total_amount]]/(1-Table4[[#This Row],[discount_pct]]/100)</f>
        <v>400</v>
      </c>
      <c r="I496">
        <v>10</v>
      </c>
      <c r="J496" s="2">
        <v>360</v>
      </c>
      <c r="K496" t="s">
        <v>322</v>
      </c>
      <c r="L496" s="2">
        <f>Table4[[#This Row],[total_amount]]*Table4[[#This Row],[refund_count]]</f>
        <v>0</v>
      </c>
      <c r="M496">
        <v>0</v>
      </c>
    </row>
    <row r="497" spans="1:13" x14ac:dyDescent="0.35">
      <c r="A497">
        <v>1496</v>
      </c>
      <c r="B497" s="1">
        <v>45768</v>
      </c>
      <c r="C497">
        <v>10</v>
      </c>
      <c r="D497">
        <v>9</v>
      </c>
      <c r="E497">
        <v>15</v>
      </c>
      <c r="F497">
        <v>3</v>
      </c>
      <c r="G497" s="2">
        <f>Table4[[#This Row],[gross_amount]]/Table4[[#This Row],[quantity]]</f>
        <v>133.33333333333334</v>
      </c>
      <c r="H497" s="2">
        <f>Table4[[#This Row],[total_amount]]/(1-Table4[[#This Row],[discount_pct]]/100)</f>
        <v>400</v>
      </c>
      <c r="I497">
        <v>10</v>
      </c>
      <c r="J497" s="2">
        <v>360</v>
      </c>
      <c r="K497" t="s">
        <v>321</v>
      </c>
      <c r="L497" s="2">
        <f>Table4[[#This Row],[total_amount]]*Table4[[#This Row],[refund_count]]</f>
        <v>0</v>
      </c>
      <c r="M497">
        <v>0</v>
      </c>
    </row>
    <row r="498" spans="1:13" x14ac:dyDescent="0.35">
      <c r="A498">
        <v>1497</v>
      </c>
      <c r="B498" s="1">
        <v>45798</v>
      </c>
      <c r="C498">
        <v>4</v>
      </c>
      <c r="D498">
        <v>120</v>
      </c>
      <c r="E498">
        <v>7</v>
      </c>
      <c r="F498">
        <v>1</v>
      </c>
      <c r="G498" s="2">
        <f>Table4[[#This Row],[gross_amount]]/Table4[[#This Row],[quantity]]</f>
        <v>200</v>
      </c>
      <c r="H498" s="2">
        <f>Table4[[#This Row],[total_amount]]/(1-Table4[[#This Row],[discount_pct]]/100)</f>
        <v>200</v>
      </c>
      <c r="I498">
        <v>0</v>
      </c>
      <c r="J498" s="2">
        <v>200</v>
      </c>
      <c r="K498" t="s">
        <v>322</v>
      </c>
      <c r="L498" s="2">
        <f>Table4[[#This Row],[total_amount]]*Table4[[#This Row],[refund_count]]</f>
        <v>0</v>
      </c>
      <c r="M498">
        <v>0</v>
      </c>
    </row>
    <row r="499" spans="1:13" x14ac:dyDescent="0.35">
      <c r="A499">
        <v>1498</v>
      </c>
      <c r="B499" s="1">
        <v>45798</v>
      </c>
      <c r="C499">
        <v>4</v>
      </c>
      <c r="D499">
        <v>79</v>
      </c>
      <c r="E499">
        <v>15</v>
      </c>
      <c r="F499">
        <v>2</v>
      </c>
      <c r="G499" s="2">
        <f>Table4[[#This Row],[gross_amount]]/Table4[[#This Row],[quantity]]</f>
        <v>160</v>
      </c>
      <c r="H499" s="2">
        <f>Table4[[#This Row],[total_amount]]/(1-Table4[[#This Row],[discount_pct]]/100)</f>
        <v>320</v>
      </c>
      <c r="I499">
        <v>10</v>
      </c>
      <c r="J499" s="2">
        <v>288</v>
      </c>
      <c r="K499" t="s">
        <v>322</v>
      </c>
      <c r="L499" s="2">
        <f>Table4[[#This Row],[total_amount]]*Table4[[#This Row],[refund_count]]</f>
        <v>0</v>
      </c>
      <c r="M499">
        <v>0</v>
      </c>
    </row>
    <row r="500" spans="1:13" x14ac:dyDescent="0.35">
      <c r="A500">
        <v>1499</v>
      </c>
      <c r="B500" s="1">
        <v>45798</v>
      </c>
      <c r="C500">
        <v>4</v>
      </c>
      <c r="D500">
        <v>62</v>
      </c>
      <c r="E500">
        <v>17</v>
      </c>
      <c r="F500">
        <v>3</v>
      </c>
      <c r="G500" s="2">
        <f>Table4[[#This Row],[gross_amount]]/Table4[[#This Row],[quantity]]</f>
        <v>133.33333333333334</v>
      </c>
      <c r="H500" s="2">
        <f>Table4[[#This Row],[total_amount]]/(1-Table4[[#This Row],[discount_pct]]/100)</f>
        <v>400</v>
      </c>
      <c r="I500">
        <v>10</v>
      </c>
      <c r="J500" s="2">
        <v>360</v>
      </c>
      <c r="K500" t="s">
        <v>322</v>
      </c>
      <c r="L500" s="2">
        <f>Table4[[#This Row],[total_amount]]*Table4[[#This Row],[refund_count]]</f>
        <v>0</v>
      </c>
      <c r="M500">
        <v>0</v>
      </c>
    </row>
    <row r="501" spans="1:13" x14ac:dyDescent="0.35">
      <c r="A501">
        <v>1500</v>
      </c>
      <c r="B501" s="1">
        <v>45798</v>
      </c>
      <c r="C501">
        <v>7</v>
      </c>
      <c r="D501">
        <v>108</v>
      </c>
      <c r="E501">
        <v>4</v>
      </c>
      <c r="F501">
        <v>3</v>
      </c>
      <c r="G501" s="2">
        <f>Table4[[#This Row],[gross_amount]]/Table4[[#This Row],[quantity]]</f>
        <v>160</v>
      </c>
      <c r="H501" s="2">
        <f>Table4[[#This Row],[total_amount]]/(1-Table4[[#This Row],[discount_pct]]/100)</f>
        <v>480</v>
      </c>
      <c r="I501">
        <v>5</v>
      </c>
      <c r="J501" s="2">
        <v>456</v>
      </c>
      <c r="K501" t="s">
        <v>322</v>
      </c>
      <c r="L501" s="2">
        <f>Table4[[#This Row],[total_amount]]*Table4[[#This Row],[refund_count]]</f>
        <v>0</v>
      </c>
      <c r="M5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6C7EAC-6984-43CF-9829-1003350800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Shops</vt:lpstr>
      <vt:lpstr>Customer</vt:lpstr>
      <vt:lpstr>Menu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Sonal</dc:creator>
  <cp:lastModifiedBy>Shreya Sonal</cp:lastModifiedBy>
  <dcterms:created xsi:type="dcterms:W3CDTF">2026-01-29T20:44:49Z</dcterms:created>
  <dcterms:modified xsi:type="dcterms:W3CDTF">2026-02-03T20:03:00Z</dcterms:modified>
</cp:coreProperties>
</file>